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h8\Desktop\UWM\UWM_05_OpenMC_Study\UWM_0506_OpenMC_Depletion_RESTART_Issue\"/>
    </mc:Choice>
  </mc:AlternateContent>
  <xr:revisionPtr revIDLastSave="0" documentId="13_ncr:1_{D3B86E52-690F-4179-8BB5-D8BDF9B66550}" xr6:coauthVersionLast="47" xr6:coauthVersionMax="47" xr10:uidLastSave="{00000000-0000-0000-0000-000000000000}"/>
  <bookViews>
    <workbookView xWindow="-38520" yWindow="-120" windowWidth="38640" windowHeight="21840" activeTab="1" xr2:uid="{DD83CF61-5627-4EEA-A5E8-91400D494158}"/>
  </bookViews>
  <sheets>
    <sheet name="01_NaCl_UCl3_CELI" sheetId="1" r:id="rId1"/>
    <sheet name="02_NaCl_UCl3_CEC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7" i="2" l="1"/>
  <c r="S47" i="2"/>
  <c r="P47" i="2"/>
  <c r="L47" i="2"/>
  <c r="K47" i="2"/>
  <c r="H47" i="2"/>
  <c r="T46" i="2"/>
  <c r="S46" i="2"/>
  <c r="P46" i="2"/>
  <c r="L46" i="2"/>
  <c r="K46" i="2"/>
  <c r="H46" i="2"/>
  <c r="T45" i="2"/>
  <c r="S45" i="2"/>
  <c r="P45" i="2"/>
  <c r="L45" i="2"/>
  <c r="K45" i="2"/>
  <c r="H45" i="2"/>
  <c r="T44" i="2"/>
  <c r="S44" i="2"/>
  <c r="P44" i="2"/>
  <c r="L44" i="2"/>
  <c r="K44" i="2"/>
  <c r="H44" i="2"/>
  <c r="T43" i="2"/>
  <c r="S43" i="2"/>
  <c r="P43" i="2"/>
  <c r="L43" i="2"/>
  <c r="K43" i="2"/>
  <c r="H43" i="2"/>
  <c r="T42" i="2"/>
  <c r="S42" i="2"/>
  <c r="P42" i="2"/>
  <c r="L42" i="2"/>
  <c r="K42" i="2"/>
  <c r="H42" i="2"/>
  <c r="T41" i="2"/>
  <c r="S41" i="2"/>
  <c r="P41" i="2"/>
  <c r="L41" i="2"/>
  <c r="K41" i="2"/>
  <c r="H41" i="2"/>
  <c r="T40" i="2"/>
  <c r="S40" i="2"/>
  <c r="P40" i="2"/>
  <c r="L40" i="2"/>
  <c r="K40" i="2"/>
  <c r="H40" i="2"/>
  <c r="T39" i="2"/>
  <c r="S39" i="2"/>
  <c r="P39" i="2"/>
  <c r="L39" i="2"/>
  <c r="K39" i="2"/>
  <c r="H39" i="2"/>
  <c r="T38" i="2"/>
  <c r="S38" i="2"/>
  <c r="P38" i="2"/>
  <c r="L38" i="2"/>
  <c r="K38" i="2"/>
  <c r="H38" i="2"/>
  <c r="T37" i="2"/>
  <c r="S37" i="2"/>
  <c r="P37" i="2"/>
  <c r="L37" i="2"/>
  <c r="K37" i="2"/>
  <c r="H37" i="2"/>
  <c r="T36" i="2"/>
  <c r="S36" i="2"/>
  <c r="P36" i="2"/>
  <c r="L36" i="2"/>
  <c r="K36" i="2"/>
  <c r="H36" i="2"/>
  <c r="T35" i="2"/>
  <c r="S35" i="2"/>
  <c r="P35" i="2"/>
  <c r="L35" i="2"/>
  <c r="K35" i="2"/>
  <c r="H35" i="2"/>
  <c r="T34" i="2"/>
  <c r="S34" i="2"/>
  <c r="P34" i="2"/>
  <c r="L34" i="2"/>
  <c r="K34" i="2"/>
  <c r="H34" i="2"/>
  <c r="T33" i="2"/>
  <c r="S33" i="2"/>
  <c r="P33" i="2"/>
  <c r="L33" i="2"/>
  <c r="K33" i="2"/>
  <c r="H33" i="2"/>
  <c r="T32" i="2"/>
  <c r="S32" i="2"/>
  <c r="P32" i="2"/>
  <c r="L32" i="2"/>
  <c r="K32" i="2"/>
  <c r="H32" i="2"/>
  <c r="T31" i="2"/>
  <c r="S31" i="2"/>
  <c r="P31" i="2"/>
  <c r="L31" i="2"/>
  <c r="K31" i="2"/>
  <c r="H31" i="2"/>
  <c r="T30" i="2"/>
  <c r="S30" i="2"/>
  <c r="P30" i="2"/>
  <c r="L30" i="2"/>
  <c r="K30" i="2"/>
  <c r="H30" i="2"/>
  <c r="T29" i="2"/>
  <c r="S29" i="2"/>
  <c r="P29" i="2"/>
  <c r="L29" i="2"/>
  <c r="K29" i="2"/>
  <c r="H29" i="2"/>
  <c r="L25" i="2"/>
  <c r="K25" i="2"/>
  <c r="H25" i="2"/>
  <c r="L24" i="2"/>
  <c r="K24" i="2"/>
  <c r="H24" i="2"/>
  <c r="L23" i="2"/>
  <c r="K23" i="2"/>
  <c r="H23" i="2"/>
  <c r="L22" i="2"/>
  <c r="K22" i="2"/>
  <c r="H22" i="2"/>
  <c r="L21" i="2"/>
  <c r="K21" i="2"/>
  <c r="H21" i="2"/>
  <c r="L20" i="2"/>
  <c r="K20" i="2"/>
  <c r="H20" i="2"/>
  <c r="L19" i="2"/>
  <c r="K19" i="2"/>
  <c r="H19" i="2"/>
  <c r="L18" i="2"/>
  <c r="K18" i="2"/>
  <c r="H18" i="2"/>
  <c r="L17" i="2"/>
  <c r="K17" i="2"/>
  <c r="H17" i="2"/>
  <c r="L16" i="2"/>
  <c r="K16" i="2"/>
  <c r="H16" i="2"/>
  <c r="L15" i="2"/>
  <c r="K15" i="2"/>
  <c r="H15" i="2"/>
  <c r="L14" i="2"/>
  <c r="K14" i="2"/>
  <c r="H14" i="2"/>
  <c r="L13" i="2"/>
  <c r="K13" i="2"/>
  <c r="H13" i="2"/>
  <c r="L12" i="2"/>
  <c r="K12" i="2"/>
  <c r="H12" i="2"/>
  <c r="L11" i="2"/>
  <c r="K11" i="2"/>
  <c r="H11" i="2"/>
  <c r="L10" i="2"/>
  <c r="K10" i="2"/>
  <c r="H10" i="2"/>
  <c r="L9" i="2"/>
  <c r="K9" i="2"/>
  <c r="H9" i="2"/>
  <c r="L8" i="2"/>
  <c r="K8" i="2"/>
  <c r="H8" i="2"/>
  <c r="L7" i="2"/>
  <c r="K7" i="2"/>
  <c r="H7" i="2"/>
  <c r="T47" i="1"/>
  <c r="S47" i="1"/>
  <c r="P47" i="1"/>
  <c r="T46" i="1"/>
  <c r="S46" i="1"/>
  <c r="P46" i="1"/>
  <c r="T45" i="1"/>
  <c r="S45" i="1"/>
  <c r="P45" i="1"/>
  <c r="T44" i="1"/>
  <c r="S44" i="1"/>
  <c r="P44" i="1"/>
  <c r="T43" i="1"/>
  <c r="S43" i="1"/>
  <c r="P43" i="1"/>
  <c r="T42" i="1"/>
  <c r="S42" i="1"/>
  <c r="P42" i="1"/>
  <c r="T41" i="1"/>
  <c r="S41" i="1"/>
  <c r="P41" i="1"/>
  <c r="T40" i="1"/>
  <c r="S40" i="1"/>
  <c r="P40" i="1"/>
  <c r="T39" i="1"/>
  <c r="S39" i="1"/>
  <c r="P39" i="1"/>
  <c r="T38" i="1"/>
  <c r="S38" i="1"/>
  <c r="P38" i="1"/>
  <c r="T37" i="1"/>
  <c r="S37" i="1"/>
  <c r="P37" i="1"/>
  <c r="T36" i="1"/>
  <c r="S36" i="1"/>
  <c r="P36" i="1"/>
  <c r="T35" i="1"/>
  <c r="S35" i="1"/>
  <c r="P35" i="1"/>
  <c r="T34" i="1"/>
  <c r="S34" i="1"/>
  <c r="P34" i="1"/>
  <c r="T33" i="1"/>
  <c r="S33" i="1"/>
  <c r="P33" i="1"/>
  <c r="T32" i="1"/>
  <c r="S32" i="1"/>
  <c r="P32" i="1"/>
  <c r="T31" i="1"/>
  <c r="S31" i="1"/>
  <c r="P31" i="1"/>
  <c r="T30" i="1"/>
  <c r="S30" i="1"/>
  <c r="P30" i="1"/>
  <c r="T29" i="1"/>
  <c r="S29" i="1"/>
  <c r="P29" i="1"/>
  <c r="L47" i="1"/>
  <c r="K47" i="1"/>
  <c r="H47" i="1"/>
  <c r="L46" i="1"/>
  <c r="K46" i="1"/>
  <c r="H46" i="1"/>
  <c r="L45" i="1"/>
  <c r="K45" i="1"/>
  <c r="H45" i="1"/>
  <c r="L44" i="1"/>
  <c r="K44" i="1"/>
  <c r="H44" i="1"/>
  <c r="L43" i="1"/>
  <c r="K43" i="1"/>
  <c r="H43" i="1"/>
  <c r="L42" i="1"/>
  <c r="K42" i="1"/>
  <c r="H42" i="1"/>
  <c r="L41" i="1"/>
  <c r="K41" i="1"/>
  <c r="H41" i="1"/>
  <c r="L40" i="1"/>
  <c r="K40" i="1"/>
  <c r="H40" i="1"/>
  <c r="L39" i="1"/>
  <c r="K39" i="1"/>
  <c r="H39" i="1"/>
  <c r="L38" i="1"/>
  <c r="K38" i="1"/>
  <c r="H38" i="1"/>
  <c r="L37" i="1"/>
  <c r="K37" i="1"/>
  <c r="H37" i="1"/>
  <c r="L36" i="1"/>
  <c r="K36" i="1"/>
  <c r="H36" i="1"/>
  <c r="L35" i="1"/>
  <c r="K35" i="1"/>
  <c r="H35" i="1"/>
  <c r="L34" i="1"/>
  <c r="K34" i="1"/>
  <c r="H34" i="1"/>
  <c r="L33" i="1"/>
  <c r="K33" i="1"/>
  <c r="H33" i="1"/>
  <c r="L32" i="1"/>
  <c r="K32" i="1"/>
  <c r="H32" i="1"/>
  <c r="L31" i="1"/>
  <c r="K31" i="1"/>
  <c r="H31" i="1"/>
  <c r="L30" i="1"/>
  <c r="K30" i="1"/>
  <c r="H30" i="1"/>
  <c r="L29" i="1"/>
  <c r="K29" i="1"/>
  <c r="H29" i="1"/>
  <c r="H25" i="1"/>
  <c r="K25" i="1"/>
  <c r="L25" i="1"/>
  <c r="L24" i="1"/>
  <c r="K24" i="1"/>
  <c r="H24" i="1"/>
  <c r="L23" i="1"/>
  <c r="K23" i="1"/>
  <c r="H23" i="1"/>
  <c r="L22" i="1"/>
  <c r="K22" i="1"/>
  <c r="H22" i="1"/>
  <c r="L21" i="1"/>
  <c r="K21" i="1"/>
  <c r="H21" i="1"/>
  <c r="L20" i="1"/>
  <c r="K20" i="1"/>
  <c r="H20" i="1"/>
  <c r="L19" i="1"/>
  <c r="K19" i="1"/>
  <c r="H19" i="1"/>
  <c r="L18" i="1"/>
  <c r="K18" i="1"/>
  <c r="H18" i="1"/>
  <c r="L17" i="1"/>
  <c r="K17" i="1"/>
  <c r="H17" i="1"/>
  <c r="L16" i="1"/>
  <c r="K16" i="1"/>
  <c r="H16" i="1"/>
  <c r="L15" i="1"/>
  <c r="K15" i="1"/>
  <c r="H15" i="1"/>
  <c r="L14" i="1"/>
  <c r="K14" i="1"/>
  <c r="H14" i="1"/>
  <c r="L13" i="1"/>
  <c r="K13" i="1"/>
  <c r="H13" i="1"/>
  <c r="L12" i="1"/>
  <c r="K12" i="1"/>
  <c r="H12" i="1"/>
  <c r="L11" i="1"/>
  <c r="K11" i="1"/>
  <c r="H11" i="1"/>
  <c r="L10" i="1"/>
  <c r="K10" i="1"/>
  <c r="H10" i="1"/>
  <c r="L9" i="1"/>
  <c r="K9" i="1"/>
  <c r="H9" i="1"/>
  <c r="L8" i="1"/>
  <c r="K8" i="1"/>
  <c r="H8" i="1"/>
  <c r="L7" i="1"/>
  <c r="K7" i="1"/>
  <c r="H7" i="1"/>
</calcChain>
</file>

<file path=xl/sharedStrings.xml><?xml version="1.0" encoding="utf-8"?>
<sst xmlns="http://schemas.openxmlformats.org/spreadsheetml/2006/main" count="72" uniqueCount="23">
  <si>
    <t>*ALL CALCULATION POSTULATE URR OPTION OFF &amp; ENDF 7.1</t>
  </si>
  <si>
    <t>BURNUP</t>
  </si>
  <si>
    <t>EFPD</t>
  </si>
  <si>
    <t>GWD/MTU</t>
  </si>
  <si>
    <t>OpenMC v0.15.3 [CELI]</t>
  </si>
  <si>
    <t>KEFF</t>
  </si>
  <si>
    <t>SIGMA</t>
  </si>
  <si>
    <t>SIGMA [pcm]</t>
  </si>
  <si>
    <t>BETA_EFF</t>
  </si>
  <si>
    <t>BETA_EFF [pcm]</t>
  </si>
  <si>
    <t>OpenMC v0.15.3 [CELI] / HALTED</t>
  </si>
  <si>
    <t>Point of Halt / Restart</t>
  </si>
  <si>
    <t>OpenMC v0.15.3 [CELI] / RESTART</t>
  </si>
  <si>
    <t>OpenMC v0.15.3 [CECM]</t>
  </si>
  <si>
    <t>OpenMC v0.15.3 [CECM] / HALTED</t>
  </si>
  <si>
    <t>OpenMC v0.15.3 [CECM] / RESTART</t>
  </si>
  <si>
    <t>REFER TO THE FOLLOWING DATA:</t>
  </si>
  <si>
    <t>01_NaCl_UCl3_Depletion_CELI</t>
  </si>
  <si>
    <t>02_NaCl_UCl3_Depletion_CELI_HALTED</t>
  </si>
  <si>
    <t>03_NaCl_UCl3_Depletion_CELI_RESTART</t>
  </si>
  <si>
    <t>11_NaCl_UCl3_Depletion_CECM</t>
  </si>
  <si>
    <t>12_NaCl_UCl3_Depletion_CECM_HALTED</t>
  </si>
  <si>
    <t>13_NaCl_UCl3_Depletion_CECM_RESTART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</si>
</sst>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7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theme="4"/>
      <name val="Aptos Narrow"/>
      <family val="2"/>
      <charset val="129"/>
      <scheme val="minor"/>
    </font>
    <font>
      <sz val="11"/>
      <color theme="5"/>
      <name val="Aptos Narrow"/>
      <family val="2"/>
      <charset val="129"/>
      <scheme val="minor"/>
    </font>
    <font>
      <sz val="11"/>
      <color theme="6"/>
      <name val="Aptos Narrow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1" xfId="1" applyBorder="1"/>
    <xf numFmtId="164" fontId="1" fillId="0" borderId="1" xfId="1" applyNumberFormat="1" applyBorder="1"/>
    <xf numFmtId="11" fontId="1" fillId="0" borderId="1" xfId="1" applyNumberFormat="1" applyBorder="1"/>
    <xf numFmtId="165" fontId="1" fillId="0" borderId="1" xfId="1" applyNumberFormat="1" applyBorder="1"/>
    <xf numFmtId="0" fontId="1" fillId="2" borderId="1" xfId="1" applyFill="1" applyBorder="1"/>
    <xf numFmtId="164" fontId="1" fillId="2" borderId="1" xfId="1" applyNumberFormat="1" applyFill="1" applyBorder="1"/>
    <xf numFmtId="11" fontId="1" fillId="2" borderId="1" xfId="1" applyNumberFormat="1" applyFill="1" applyBorder="1"/>
    <xf numFmtId="165" fontId="1" fillId="2" borderId="1" xfId="1" applyNumberFormat="1" applyFill="1" applyBorder="1"/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1" applyBorder="1" applyAlignment="1">
      <alignment horizontal="center"/>
    </xf>
  </cellXfs>
  <cellStyles count="2">
    <cellStyle name="표준" xfId="0" builtinId="0"/>
    <cellStyle name="표준 2" xfId="1" xr:uid="{D69FBCB3-29A5-49D0-BF35-6D9C57A944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NaCl-UCl3 Depletion (CE/LI)</a:t>
            </a:r>
          </a:p>
        </c:rich>
      </c:tx>
      <c:layout>
        <c:manualLayout>
          <c:xMode val="edge"/>
          <c:yMode val="edge"/>
          <c:x val="0.34126304788339795"/>
          <c:y val="3.387219296627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'01_NaCl_UCl3_CELI'!$F$5</c:f>
              <c:strCache>
                <c:ptCount val="1"/>
                <c:pt idx="0">
                  <c:v>OpenMC v0.15.3 [CELI]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'01_NaCl_UCl3_CELI'!$C$7:$C$25</c:f>
              <c:numCache>
                <c:formatCode>General</c:formatCode>
                <c:ptCount val="19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  <c:pt idx="16">
                  <c:v>7500</c:v>
                </c:pt>
                <c:pt idx="17">
                  <c:v>8000</c:v>
                </c:pt>
                <c:pt idx="18">
                  <c:v>8500</c:v>
                </c:pt>
              </c:numCache>
            </c:numRef>
          </c:xVal>
          <c:yVal>
            <c:numRef>
              <c:f>'01_NaCl_UCl3_CELI'!$F$7:$F$25</c:f>
              <c:numCache>
                <c:formatCode>0.00000</c:formatCode>
                <c:ptCount val="19"/>
                <c:pt idx="0">
                  <c:v>1.408156</c:v>
                </c:pt>
                <c:pt idx="1">
                  <c:v>1.4006050000000001</c:v>
                </c:pt>
                <c:pt idx="2">
                  <c:v>1.393648</c:v>
                </c:pt>
                <c:pt idx="3">
                  <c:v>1.378441</c:v>
                </c:pt>
                <c:pt idx="4">
                  <c:v>1.362832</c:v>
                </c:pt>
                <c:pt idx="5">
                  <c:v>1.3472</c:v>
                </c:pt>
                <c:pt idx="6">
                  <c:v>1.3305940000000001</c:v>
                </c:pt>
                <c:pt idx="7">
                  <c:v>1.314252</c:v>
                </c:pt>
                <c:pt idx="8">
                  <c:v>1.2976479999999999</c:v>
                </c:pt>
                <c:pt idx="9">
                  <c:v>1.2808409999999999</c:v>
                </c:pt>
                <c:pt idx="10">
                  <c:v>1.264005</c:v>
                </c:pt>
                <c:pt idx="11">
                  <c:v>1.2469429999999999</c:v>
                </c:pt>
                <c:pt idx="12">
                  <c:v>1.2301869999999999</c:v>
                </c:pt>
                <c:pt idx="13">
                  <c:v>1.21394</c:v>
                </c:pt>
                <c:pt idx="14">
                  <c:v>1.1973199999999999</c:v>
                </c:pt>
                <c:pt idx="15">
                  <c:v>1.181319</c:v>
                </c:pt>
                <c:pt idx="16">
                  <c:v>1.165605</c:v>
                </c:pt>
                <c:pt idx="17">
                  <c:v>1.150415</c:v>
                </c:pt>
                <c:pt idx="18">
                  <c:v>1.135772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EA-430E-8BB3-01CC0E449442}"/>
            </c:ext>
          </c:extLst>
        </c:ser>
        <c:ser>
          <c:idx val="1"/>
          <c:order val="1"/>
          <c:tx>
            <c:strRef>
              <c:f>'01_NaCl_UCl3_CELI'!$F$27</c:f>
              <c:strCache>
                <c:ptCount val="1"/>
                <c:pt idx="0">
                  <c:v>OpenMC v0.15.3 [CELI] / HALTED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2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'01_NaCl_UCl3_CELI'!$C$29:$C$37</c:f>
              <c:numCache>
                <c:formatCode>General</c:formatCode>
                <c:ptCount val="9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</c:numCache>
            </c:numRef>
          </c:xVal>
          <c:yVal>
            <c:numRef>
              <c:f>'01_NaCl_UCl3_CELI'!$F$29:$F$37</c:f>
              <c:numCache>
                <c:formatCode>0.00000</c:formatCode>
                <c:ptCount val="9"/>
                <c:pt idx="0">
                  <c:v>1.408156</c:v>
                </c:pt>
                <c:pt idx="1">
                  <c:v>1.4005460000000001</c:v>
                </c:pt>
                <c:pt idx="2">
                  <c:v>1.3931979999999999</c:v>
                </c:pt>
                <c:pt idx="3">
                  <c:v>1.3783179999999999</c:v>
                </c:pt>
                <c:pt idx="4">
                  <c:v>1.3627480000000001</c:v>
                </c:pt>
                <c:pt idx="5">
                  <c:v>1.3469679999999999</c:v>
                </c:pt>
                <c:pt idx="6">
                  <c:v>1.330616</c:v>
                </c:pt>
                <c:pt idx="7">
                  <c:v>1.3142050000000001</c:v>
                </c:pt>
                <c:pt idx="8">
                  <c:v>1.297704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3EA-430E-8BB3-01CC0E449442}"/>
            </c:ext>
          </c:extLst>
        </c:ser>
        <c:ser>
          <c:idx val="2"/>
          <c:order val="2"/>
          <c:tx>
            <c:strRef>
              <c:f>'01_NaCl_UCl3_CELI'!$N$27</c:f>
              <c:strCache>
                <c:ptCount val="1"/>
                <c:pt idx="0">
                  <c:v>OpenMC v0.15.3 [CELI] / RESTART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2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'01_NaCl_UCl3_CELI'!$C$37:$C$47</c:f>
              <c:numCache>
                <c:formatCode>General</c:formatCode>
                <c:ptCount val="11"/>
                <c:pt idx="0">
                  <c:v>3500</c:v>
                </c:pt>
                <c:pt idx="1">
                  <c:v>4000</c:v>
                </c:pt>
                <c:pt idx="2">
                  <c:v>4500</c:v>
                </c:pt>
                <c:pt idx="3">
                  <c:v>5000</c:v>
                </c:pt>
                <c:pt idx="4">
                  <c:v>5500</c:v>
                </c:pt>
                <c:pt idx="5">
                  <c:v>6000</c:v>
                </c:pt>
                <c:pt idx="6">
                  <c:v>6500</c:v>
                </c:pt>
                <c:pt idx="7">
                  <c:v>7000</c:v>
                </c:pt>
                <c:pt idx="8">
                  <c:v>7500</c:v>
                </c:pt>
                <c:pt idx="9">
                  <c:v>8000</c:v>
                </c:pt>
                <c:pt idx="10">
                  <c:v>8500</c:v>
                </c:pt>
              </c:numCache>
            </c:numRef>
          </c:xVal>
          <c:yVal>
            <c:numRef>
              <c:f>'01_NaCl_UCl3_CELI'!$N$37:$N$47</c:f>
              <c:numCache>
                <c:formatCode>0.00000</c:formatCode>
                <c:ptCount val="11"/>
                <c:pt idx="0">
                  <c:v>1.297704</c:v>
                </c:pt>
                <c:pt idx="1">
                  <c:v>1.289194</c:v>
                </c:pt>
                <c:pt idx="2">
                  <c:v>1.272259</c:v>
                </c:pt>
                <c:pt idx="3">
                  <c:v>1.2554989999999999</c:v>
                </c:pt>
                <c:pt idx="4">
                  <c:v>1.2387649999999999</c:v>
                </c:pt>
                <c:pt idx="5">
                  <c:v>1.2219450000000001</c:v>
                </c:pt>
                <c:pt idx="6">
                  <c:v>1.2055</c:v>
                </c:pt>
                <c:pt idx="7">
                  <c:v>1.1894370000000001</c:v>
                </c:pt>
                <c:pt idx="8">
                  <c:v>1.173441</c:v>
                </c:pt>
                <c:pt idx="9">
                  <c:v>1.158218</c:v>
                </c:pt>
                <c:pt idx="10">
                  <c:v>1.14299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3EA-430E-8BB3-01CC0E449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</c:scatterChart>
      <c:valAx>
        <c:axId val="1659628576"/>
        <c:scaling>
          <c:orientation val="minMax"/>
          <c:max val="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</c:valAx>
      <c:valAx>
        <c:axId val="1659630496"/>
        <c:scaling>
          <c:orientation val="minMax"/>
          <c:max val="1.45"/>
          <c:min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89571863236807"/>
          <c:y val="0.64770349198790489"/>
          <c:w val="0.4998270314909713"/>
          <c:h val="0.14771743365644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NaCl-UCl3 Depletion (CE/CM)</a:t>
            </a:r>
          </a:p>
        </c:rich>
      </c:tx>
      <c:layout>
        <c:manualLayout>
          <c:xMode val="edge"/>
          <c:yMode val="edge"/>
          <c:x val="0.32809415977525835"/>
          <c:y val="3.3872192966270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9261800914705"/>
          <c:y val="0.11314864219059255"/>
          <c:w val="0.8097427935600886"/>
          <c:h val="0.67797024823686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'02_NaCl_UCl3_CECM'!$F$5</c:f>
              <c:strCache>
                <c:ptCount val="1"/>
                <c:pt idx="0">
                  <c:v>OpenMC v0.15.3 [CECM]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'02_NaCl_UCl3_CECM'!$C$7:$C$25</c:f>
              <c:numCache>
                <c:formatCode>General</c:formatCode>
                <c:ptCount val="19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  <c:pt idx="9">
                  <c:v>4000</c:v>
                </c:pt>
                <c:pt idx="10">
                  <c:v>4500</c:v>
                </c:pt>
                <c:pt idx="11">
                  <c:v>5000</c:v>
                </c:pt>
                <c:pt idx="12">
                  <c:v>5500</c:v>
                </c:pt>
                <c:pt idx="13">
                  <c:v>6000</c:v>
                </c:pt>
                <c:pt idx="14">
                  <c:v>6500</c:v>
                </c:pt>
                <c:pt idx="15">
                  <c:v>7000</c:v>
                </c:pt>
                <c:pt idx="16">
                  <c:v>7500</c:v>
                </c:pt>
                <c:pt idx="17">
                  <c:v>8000</c:v>
                </c:pt>
                <c:pt idx="18">
                  <c:v>8500</c:v>
                </c:pt>
              </c:numCache>
            </c:numRef>
          </c:xVal>
          <c:yVal>
            <c:numRef>
              <c:f>'02_NaCl_UCl3_CECM'!$F$7:$F$25</c:f>
              <c:numCache>
                <c:formatCode>0.00000</c:formatCode>
                <c:ptCount val="19"/>
                <c:pt idx="0">
                  <c:v>1.4080809999999999</c:v>
                </c:pt>
                <c:pt idx="1">
                  <c:v>1.400739</c:v>
                </c:pt>
                <c:pt idx="2">
                  <c:v>1.3930959999999999</c:v>
                </c:pt>
                <c:pt idx="3">
                  <c:v>1.3785229999999999</c:v>
                </c:pt>
                <c:pt idx="4">
                  <c:v>1.362908</c:v>
                </c:pt>
                <c:pt idx="5">
                  <c:v>1.3470789999999999</c:v>
                </c:pt>
                <c:pt idx="6">
                  <c:v>1.3307329999999999</c:v>
                </c:pt>
                <c:pt idx="7">
                  <c:v>1.3141370000000001</c:v>
                </c:pt>
                <c:pt idx="8">
                  <c:v>1.2977879999999999</c:v>
                </c:pt>
                <c:pt idx="9">
                  <c:v>1.2809330000000001</c:v>
                </c:pt>
                <c:pt idx="10">
                  <c:v>1.2638480000000001</c:v>
                </c:pt>
                <c:pt idx="11">
                  <c:v>1.2470289999999999</c:v>
                </c:pt>
                <c:pt idx="12">
                  <c:v>1.230294</c:v>
                </c:pt>
                <c:pt idx="13">
                  <c:v>1.2138119999999999</c:v>
                </c:pt>
                <c:pt idx="14">
                  <c:v>1.197546</c:v>
                </c:pt>
                <c:pt idx="15">
                  <c:v>1.1813849999999999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79-46B9-9FB1-7290A8E1277A}"/>
            </c:ext>
          </c:extLst>
        </c:ser>
        <c:ser>
          <c:idx val="1"/>
          <c:order val="1"/>
          <c:tx>
            <c:strRef>
              <c:f>'02_NaCl_UCl3_CECM'!$F$27</c:f>
              <c:strCache>
                <c:ptCount val="1"/>
                <c:pt idx="0">
                  <c:v>OpenMC v0.15.3 [CECM] / HALTED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2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'02_NaCl_UCl3_CECM'!$C$29:$C$37</c:f>
              <c:numCache>
                <c:formatCode>General</c:formatCode>
                <c:ptCount val="9"/>
                <c:pt idx="0">
                  <c:v>0</c:v>
                </c:pt>
                <c:pt idx="1">
                  <c:v>250</c:v>
                </c:pt>
                <c:pt idx="2">
                  <c:v>500</c:v>
                </c:pt>
                <c:pt idx="3">
                  <c:v>1000</c:v>
                </c:pt>
                <c:pt idx="4">
                  <c:v>1500</c:v>
                </c:pt>
                <c:pt idx="5">
                  <c:v>2000</c:v>
                </c:pt>
                <c:pt idx="6">
                  <c:v>2500</c:v>
                </c:pt>
                <c:pt idx="7">
                  <c:v>3000</c:v>
                </c:pt>
                <c:pt idx="8">
                  <c:v>3500</c:v>
                </c:pt>
              </c:numCache>
            </c:numRef>
          </c:xVal>
          <c:yVal>
            <c:numRef>
              <c:f>'02_NaCl_UCl3_CECM'!$F$29:$F$37</c:f>
              <c:numCache>
                <c:formatCode>0.00000</c:formatCode>
                <c:ptCount val="9"/>
                <c:pt idx="0">
                  <c:v>1.408156</c:v>
                </c:pt>
                <c:pt idx="1">
                  <c:v>1.4005479999999999</c:v>
                </c:pt>
                <c:pt idx="2">
                  <c:v>1.3931439999999999</c:v>
                </c:pt>
                <c:pt idx="3">
                  <c:v>1.3785320000000001</c:v>
                </c:pt>
                <c:pt idx="4">
                  <c:v>1.362943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79-46B9-9FB1-7290A8E1277A}"/>
            </c:ext>
          </c:extLst>
        </c:ser>
        <c:ser>
          <c:idx val="2"/>
          <c:order val="2"/>
          <c:tx>
            <c:strRef>
              <c:f>'02_NaCl_UCl3_CECM'!$N$27</c:f>
              <c:strCache>
                <c:ptCount val="1"/>
                <c:pt idx="0">
                  <c:v>OpenMC v0.15.3 [CECM] / RESTART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alpha val="2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'02_NaCl_UCl3_CECM'!$C$33:$C$47</c:f>
              <c:numCache>
                <c:formatCode>General</c:formatCode>
                <c:ptCount val="15"/>
                <c:pt idx="0">
                  <c:v>1500</c:v>
                </c:pt>
                <c:pt idx="1">
                  <c:v>2000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  <c:pt idx="6">
                  <c:v>4500</c:v>
                </c:pt>
                <c:pt idx="7">
                  <c:v>5000</c:v>
                </c:pt>
                <c:pt idx="8">
                  <c:v>5500</c:v>
                </c:pt>
                <c:pt idx="9">
                  <c:v>6000</c:v>
                </c:pt>
                <c:pt idx="10">
                  <c:v>6500</c:v>
                </c:pt>
                <c:pt idx="11">
                  <c:v>7000</c:v>
                </c:pt>
                <c:pt idx="12">
                  <c:v>7500</c:v>
                </c:pt>
                <c:pt idx="13">
                  <c:v>8000</c:v>
                </c:pt>
                <c:pt idx="14">
                  <c:v>8500</c:v>
                </c:pt>
              </c:numCache>
            </c:numRef>
          </c:xVal>
          <c:yVal>
            <c:numRef>
              <c:f>'02_NaCl_UCl3_CECM'!$N$33:$N$47</c:f>
              <c:numCache>
                <c:formatCode>0.00000</c:formatCode>
                <c:ptCount val="15"/>
                <c:pt idx="0">
                  <c:v>1.362943</c:v>
                </c:pt>
                <c:pt idx="1">
                  <c:v>1.3472500000000001</c:v>
                </c:pt>
                <c:pt idx="2">
                  <c:v>1.331116</c:v>
                </c:pt>
                <c:pt idx="3">
                  <c:v>1.314487</c:v>
                </c:pt>
                <c:pt idx="4">
                  <c:v>1.2980849999999999</c:v>
                </c:pt>
                <c:pt idx="5">
                  <c:v>1.2811129999999999</c:v>
                </c:pt>
                <c:pt idx="6">
                  <c:v>1.26413</c:v>
                </c:pt>
                <c:pt idx="7">
                  <c:v>1.2470540000000001</c:v>
                </c:pt>
                <c:pt idx="8">
                  <c:v>1.230618</c:v>
                </c:pt>
                <c:pt idx="9">
                  <c:v>1.213851</c:v>
                </c:pt>
                <c:pt idx="10">
                  <c:v>1.197622</c:v>
                </c:pt>
                <c:pt idx="11">
                  <c:v>1.1816599999999999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79-46B9-9FB1-7290A8E12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628576"/>
        <c:axId val="1659630496"/>
      </c:scatterChart>
      <c:valAx>
        <c:axId val="1659628576"/>
        <c:scaling>
          <c:orientation val="minMax"/>
          <c:max val="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EFPD</a:t>
                </a:r>
              </a:p>
            </c:rich>
          </c:tx>
          <c:layout>
            <c:manualLayout>
              <c:xMode val="edge"/>
              <c:yMode val="edge"/>
              <c:x val="0.49953011334881481"/>
              <c:y val="0.85639062054332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30496"/>
        <c:crosses val="autoZero"/>
        <c:crossBetween val="midCat"/>
      </c:valAx>
      <c:valAx>
        <c:axId val="1659630496"/>
        <c:scaling>
          <c:orientation val="minMax"/>
          <c:max val="1.45"/>
          <c:min val="1.1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59628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89571863236807"/>
          <c:y val="0.64770349198790489"/>
          <c:w val="0.4998270314909713"/>
          <c:h val="0.14771743365644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56493</xdr:colOff>
      <xdr:row>36</xdr:row>
      <xdr:rowOff>104775</xdr:rowOff>
    </xdr:from>
    <xdr:to>
      <xdr:col>20</xdr:col>
      <xdr:colOff>591206</xdr:colOff>
      <xdr:row>36</xdr:row>
      <xdr:rowOff>105103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1A7A097D-BB28-2567-E00C-964FF36C6820}"/>
            </a:ext>
          </a:extLst>
        </xdr:cNvPr>
        <xdr:cNvCxnSpPr/>
      </xdr:nvCxnSpPr>
      <xdr:spPr>
        <a:xfrm flipH="1" flipV="1">
          <a:off x="17838683" y="6962775"/>
          <a:ext cx="534713" cy="32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</xdr:row>
      <xdr:rowOff>142875</xdr:rowOff>
    </xdr:from>
    <xdr:to>
      <xdr:col>18</xdr:col>
      <xdr:colOff>878062</xdr:colOff>
      <xdr:row>24</xdr:row>
      <xdr:rowOff>76202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3F201AB-414B-4813-8315-303BCEE85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75543</xdr:colOff>
      <xdr:row>32</xdr:row>
      <xdr:rowOff>85725</xdr:rowOff>
    </xdr:from>
    <xdr:to>
      <xdr:col>20</xdr:col>
      <xdr:colOff>610256</xdr:colOff>
      <xdr:row>32</xdr:row>
      <xdr:rowOff>86053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D4E0456C-1EB6-4309-B116-B2C1F88AD845}"/>
            </a:ext>
          </a:extLst>
        </xdr:cNvPr>
        <xdr:cNvCxnSpPr/>
      </xdr:nvCxnSpPr>
      <xdr:spPr>
        <a:xfrm flipH="1" flipV="1">
          <a:off x="17868243" y="6181725"/>
          <a:ext cx="534713" cy="328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2</xdr:row>
      <xdr:rowOff>142875</xdr:rowOff>
    </xdr:from>
    <xdr:to>
      <xdr:col>18</xdr:col>
      <xdr:colOff>878062</xdr:colOff>
      <xdr:row>24</xdr:row>
      <xdr:rowOff>76202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F9490D6-8074-4E42-83B6-0DAB96428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36B3-969A-4945-B845-D430FB696FDD}">
  <dimension ref="C3:V52"/>
  <sheetViews>
    <sheetView zoomScale="115" zoomScaleNormal="115" workbookViewId="0">
      <selection activeCell="U23" sqref="U23"/>
    </sheetView>
  </sheetViews>
  <sheetFormatPr defaultRowHeight="15" x14ac:dyDescent="0.25"/>
  <cols>
    <col min="8" max="8" width="12.375" customWidth="1"/>
    <col min="9" max="9" width="13.5" customWidth="1"/>
    <col min="10" max="10" width="14.125" customWidth="1"/>
    <col min="11" max="11" width="13.375" customWidth="1"/>
    <col min="12" max="12" width="19.875" customWidth="1"/>
    <col min="14" max="14" width="12.125" customWidth="1"/>
    <col min="15" max="15" width="15" customWidth="1"/>
    <col min="16" max="16" width="12" customWidth="1"/>
    <col min="17" max="17" width="11.5" customWidth="1"/>
    <col min="18" max="18" width="11.875" customWidth="1"/>
    <col min="19" max="19" width="12.5" customWidth="1"/>
    <col min="20" max="20" width="13.25" customWidth="1"/>
  </cols>
  <sheetData>
    <row r="3" spans="3:12" x14ac:dyDescent="0.25">
      <c r="C3" s="1" t="s">
        <v>0</v>
      </c>
    </row>
    <row r="5" spans="3:12" x14ac:dyDescent="0.25">
      <c r="C5" s="15" t="s">
        <v>1</v>
      </c>
      <c r="D5" s="15"/>
      <c r="F5" s="15" t="s">
        <v>4</v>
      </c>
      <c r="G5" s="15"/>
      <c r="H5" s="15"/>
      <c r="I5" s="15"/>
      <c r="J5" s="15"/>
      <c r="K5" s="15"/>
      <c r="L5" s="15"/>
    </row>
    <row r="6" spans="3:12" x14ac:dyDescent="0.25">
      <c r="C6" s="2" t="s">
        <v>2</v>
      </c>
      <c r="D6" s="2" t="s">
        <v>3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6</v>
      </c>
      <c r="K6" s="2" t="s">
        <v>9</v>
      </c>
      <c r="L6" s="2" t="s">
        <v>7</v>
      </c>
    </row>
    <row r="7" spans="3:12" x14ac:dyDescent="0.25">
      <c r="C7" s="2">
        <v>0</v>
      </c>
      <c r="D7" s="2">
        <v>0</v>
      </c>
      <c r="F7" s="3">
        <v>1.408156</v>
      </c>
      <c r="G7" s="4">
        <v>1.4999999999999999E-4</v>
      </c>
      <c r="H7" s="5">
        <f>G7*100000</f>
        <v>14.999999999999998</v>
      </c>
      <c r="I7" s="4">
        <v>6.7736050000000003E-3</v>
      </c>
      <c r="J7" s="4">
        <v>5.1057039999999999E-5</v>
      </c>
      <c r="K7" s="5">
        <f>I7*100000</f>
        <v>677.3605</v>
      </c>
      <c r="L7" s="5">
        <f>J7*100000</f>
        <v>5.1057040000000002</v>
      </c>
    </row>
    <row r="8" spans="3:12" x14ac:dyDescent="0.25">
      <c r="C8" s="2">
        <v>250</v>
      </c>
      <c r="D8" s="2">
        <v>5</v>
      </c>
      <c r="F8" s="3">
        <v>1.4006050000000001</v>
      </c>
      <c r="G8" s="4">
        <v>1.35E-4</v>
      </c>
      <c r="H8" s="5">
        <f t="shared" ref="H8:H24" si="0">G8*100000</f>
        <v>13.5</v>
      </c>
      <c r="I8" s="4">
        <v>6.7032189999999998E-3</v>
      </c>
      <c r="J8" s="4">
        <v>5.6915659999999998E-5</v>
      </c>
      <c r="K8" s="5">
        <f t="shared" ref="K8:L24" si="1">I8*100000</f>
        <v>670.32190000000003</v>
      </c>
      <c r="L8" s="5">
        <f t="shared" si="1"/>
        <v>5.6915659999999999</v>
      </c>
    </row>
    <row r="9" spans="3:12" x14ac:dyDescent="0.25">
      <c r="C9" s="2">
        <v>500</v>
      </c>
      <c r="D9" s="2">
        <v>10</v>
      </c>
      <c r="F9" s="3">
        <v>1.393648</v>
      </c>
      <c r="G9" s="4">
        <v>1.45E-4</v>
      </c>
      <c r="H9" s="5">
        <f t="shared" si="0"/>
        <v>14.5</v>
      </c>
      <c r="I9" s="4">
        <v>6.690784E-3</v>
      </c>
      <c r="J9" s="4">
        <v>5.5763719999999997E-5</v>
      </c>
      <c r="K9" s="5">
        <f t="shared" si="1"/>
        <v>669.07839999999999</v>
      </c>
      <c r="L9" s="5">
        <f t="shared" si="1"/>
        <v>5.5763720000000001</v>
      </c>
    </row>
    <row r="10" spans="3:12" x14ac:dyDescent="0.25">
      <c r="C10" s="2">
        <v>1000</v>
      </c>
      <c r="D10" s="2">
        <v>20</v>
      </c>
      <c r="F10" s="3">
        <v>1.378441</v>
      </c>
      <c r="G10" s="4">
        <v>1.5100000000000001E-4</v>
      </c>
      <c r="H10" s="5">
        <f t="shared" si="0"/>
        <v>15.100000000000001</v>
      </c>
      <c r="I10" s="4">
        <v>6.5646389999999997E-3</v>
      </c>
      <c r="J10" s="4">
        <v>5.7345900000000003E-5</v>
      </c>
      <c r="K10" s="5">
        <f t="shared" si="1"/>
        <v>656.46389999999997</v>
      </c>
      <c r="L10" s="5">
        <f t="shared" si="1"/>
        <v>5.7345899999999999</v>
      </c>
    </row>
    <row r="11" spans="3:12" x14ac:dyDescent="0.25">
      <c r="C11" s="2">
        <v>1500</v>
      </c>
      <c r="D11" s="2">
        <v>30</v>
      </c>
      <c r="F11" s="3">
        <v>1.362832</v>
      </c>
      <c r="G11" s="4">
        <v>1.47E-4</v>
      </c>
      <c r="H11" s="5">
        <f t="shared" si="0"/>
        <v>14.7</v>
      </c>
      <c r="I11" s="4">
        <v>6.3085659999999998E-3</v>
      </c>
      <c r="J11" s="4">
        <v>5.4140790000000001E-5</v>
      </c>
      <c r="K11" s="5">
        <f t="shared" si="1"/>
        <v>630.85659999999996</v>
      </c>
      <c r="L11" s="5">
        <f t="shared" si="1"/>
        <v>5.4140790000000001</v>
      </c>
    </row>
    <row r="12" spans="3:12" x14ac:dyDescent="0.25">
      <c r="C12" s="2">
        <v>2000</v>
      </c>
      <c r="D12" s="2">
        <v>40</v>
      </c>
      <c r="F12" s="3">
        <v>1.3472</v>
      </c>
      <c r="G12" s="4">
        <v>1.4200000000000001E-4</v>
      </c>
      <c r="H12" s="5">
        <f t="shared" si="0"/>
        <v>14.200000000000001</v>
      </c>
      <c r="I12" s="4">
        <v>6.202356E-3</v>
      </c>
      <c r="J12" s="4">
        <v>5.4025379999999998E-5</v>
      </c>
      <c r="K12" s="5">
        <f t="shared" si="1"/>
        <v>620.23559999999998</v>
      </c>
      <c r="L12" s="5">
        <f t="shared" si="1"/>
        <v>5.4025379999999998</v>
      </c>
    </row>
    <row r="13" spans="3:12" x14ac:dyDescent="0.25">
      <c r="C13" s="2">
        <v>2500</v>
      </c>
      <c r="D13" s="2">
        <v>50</v>
      </c>
      <c r="F13" s="3">
        <v>1.3305940000000001</v>
      </c>
      <c r="G13" s="4">
        <v>1.47E-4</v>
      </c>
      <c r="H13" s="5">
        <f t="shared" si="0"/>
        <v>14.7</v>
      </c>
      <c r="I13" s="4">
        <v>6.115456E-3</v>
      </c>
      <c r="J13" s="4">
        <v>5.3526889999999997E-5</v>
      </c>
      <c r="K13" s="5">
        <f t="shared" si="1"/>
        <v>611.54560000000004</v>
      </c>
      <c r="L13" s="5">
        <f t="shared" si="1"/>
        <v>5.3526889999999998</v>
      </c>
    </row>
    <row r="14" spans="3:12" x14ac:dyDescent="0.25">
      <c r="C14" s="2">
        <v>3000</v>
      </c>
      <c r="D14" s="2">
        <v>60</v>
      </c>
      <c r="F14" s="3">
        <v>1.314252</v>
      </c>
      <c r="G14" s="4">
        <v>1.5200000000000001E-4</v>
      </c>
      <c r="H14" s="5">
        <f t="shared" si="0"/>
        <v>15.200000000000001</v>
      </c>
      <c r="I14" s="4">
        <v>5.8814319999999998E-3</v>
      </c>
      <c r="J14" s="4">
        <v>4.815788E-5</v>
      </c>
      <c r="K14" s="5">
        <f t="shared" si="1"/>
        <v>588.14319999999998</v>
      </c>
      <c r="L14" s="5">
        <f t="shared" si="1"/>
        <v>4.8157880000000004</v>
      </c>
    </row>
    <row r="15" spans="3:12" x14ac:dyDescent="0.25">
      <c r="C15" s="2">
        <v>3500</v>
      </c>
      <c r="D15" s="2">
        <v>70</v>
      </c>
      <c r="F15" s="3">
        <v>1.2976479999999999</v>
      </c>
      <c r="G15" s="4">
        <v>1.46E-4</v>
      </c>
      <c r="H15" s="5">
        <f t="shared" si="0"/>
        <v>14.6</v>
      </c>
      <c r="I15" s="4">
        <v>5.7874160000000001E-3</v>
      </c>
      <c r="J15" s="4">
        <v>5.0741939999999999E-5</v>
      </c>
      <c r="K15" s="5">
        <f t="shared" si="1"/>
        <v>578.74160000000006</v>
      </c>
      <c r="L15" s="5">
        <f t="shared" si="1"/>
        <v>5.0741940000000003</v>
      </c>
    </row>
    <row r="16" spans="3:12" x14ac:dyDescent="0.25">
      <c r="C16" s="2">
        <v>4000</v>
      </c>
      <c r="D16" s="2">
        <v>80</v>
      </c>
      <c r="F16" s="3">
        <v>1.2808409999999999</v>
      </c>
      <c r="G16" s="4">
        <v>1.5100000000000001E-4</v>
      </c>
      <c r="H16" s="5">
        <f t="shared" si="0"/>
        <v>15.100000000000001</v>
      </c>
      <c r="I16" s="4">
        <v>5.6748730000000004E-3</v>
      </c>
      <c r="J16" s="4">
        <v>4.7206839999999999E-5</v>
      </c>
      <c r="K16" s="5">
        <f t="shared" si="1"/>
        <v>567.4873</v>
      </c>
      <c r="L16" s="5">
        <f t="shared" si="1"/>
        <v>4.7206840000000003</v>
      </c>
    </row>
    <row r="17" spans="3:20" x14ac:dyDescent="0.25">
      <c r="C17" s="2">
        <v>4500</v>
      </c>
      <c r="D17" s="2">
        <v>90</v>
      </c>
      <c r="F17" s="3">
        <v>1.264005</v>
      </c>
      <c r="G17" s="4">
        <v>1.4300000000000001E-4</v>
      </c>
      <c r="H17" s="5">
        <f t="shared" si="0"/>
        <v>14.3</v>
      </c>
      <c r="I17" s="4">
        <v>5.4826889999999998E-3</v>
      </c>
      <c r="J17" s="4">
        <v>4.8971010000000003E-5</v>
      </c>
      <c r="K17" s="5">
        <f t="shared" si="1"/>
        <v>548.26890000000003</v>
      </c>
      <c r="L17" s="5">
        <f t="shared" si="1"/>
        <v>4.8971010000000001</v>
      </c>
    </row>
    <row r="18" spans="3:20" x14ac:dyDescent="0.25">
      <c r="C18" s="2">
        <v>5000</v>
      </c>
      <c r="D18" s="2">
        <v>100</v>
      </c>
      <c r="F18" s="3">
        <v>1.2469429999999999</v>
      </c>
      <c r="G18" s="4">
        <v>1.4300000000000001E-4</v>
      </c>
      <c r="H18" s="5">
        <f t="shared" si="0"/>
        <v>14.3</v>
      </c>
      <c r="I18" s="4">
        <v>5.3099489999999996E-3</v>
      </c>
      <c r="J18" s="4">
        <v>5.0426000000000001E-5</v>
      </c>
      <c r="K18" s="5">
        <f t="shared" si="1"/>
        <v>530.99489999999992</v>
      </c>
      <c r="L18" s="5">
        <f t="shared" si="1"/>
        <v>5.0426000000000002</v>
      </c>
    </row>
    <row r="19" spans="3:20" x14ac:dyDescent="0.25">
      <c r="C19" s="2">
        <v>5500</v>
      </c>
      <c r="D19" s="2">
        <v>110</v>
      </c>
      <c r="F19" s="3">
        <v>1.2301869999999999</v>
      </c>
      <c r="G19" s="4">
        <v>1.3799999999999999E-4</v>
      </c>
      <c r="H19" s="5">
        <f t="shared" si="0"/>
        <v>13.799999999999999</v>
      </c>
      <c r="I19" s="4">
        <v>5.1644150000000003E-3</v>
      </c>
      <c r="J19" s="4">
        <v>4.7703359999999999E-5</v>
      </c>
      <c r="K19" s="5">
        <f t="shared" si="1"/>
        <v>516.44150000000002</v>
      </c>
      <c r="L19" s="5">
        <f t="shared" si="1"/>
        <v>4.7703359999999995</v>
      </c>
    </row>
    <row r="20" spans="3:20" x14ac:dyDescent="0.25">
      <c r="C20" s="2">
        <v>6000</v>
      </c>
      <c r="D20" s="2">
        <v>120</v>
      </c>
      <c r="F20" s="3">
        <v>1.21394</v>
      </c>
      <c r="G20" s="4">
        <v>1.5200000000000001E-4</v>
      </c>
      <c r="H20" s="5">
        <f t="shared" si="0"/>
        <v>15.200000000000001</v>
      </c>
      <c r="I20" s="4">
        <v>4.9897450000000003E-3</v>
      </c>
      <c r="J20" s="4">
        <v>4.6675809999999999E-5</v>
      </c>
      <c r="K20" s="5">
        <f t="shared" si="1"/>
        <v>498.97450000000003</v>
      </c>
      <c r="L20" s="5">
        <f t="shared" si="1"/>
        <v>4.6675810000000002</v>
      </c>
    </row>
    <row r="21" spans="3:20" x14ac:dyDescent="0.25">
      <c r="C21" s="2">
        <v>6500</v>
      </c>
      <c r="D21" s="2">
        <v>130</v>
      </c>
      <c r="F21" s="3">
        <v>1.1973199999999999</v>
      </c>
      <c r="G21" s="4">
        <v>1.2899999999999999E-4</v>
      </c>
      <c r="H21" s="5">
        <f t="shared" si="0"/>
        <v>12.899999999999999</v>
      </c>
      <c r="I21" s="4">
        <v>4.8782060000000004E-3</v>
      </c>
      <c r="J21" s="4">
        <v>4.484187E-5</v>
      </c>
      <c r="K21" s="5">
        <f t="shared" si="1"/>
        <v>487.82060000000001</v>
      </c>
      <c r="L21" s="5">
        <f t="shared" si="1"/>
        <v>4.4841870000000004</v>
      </c>
    </row>
    <row r="22" spans="3:20" x14ac:dyDescent="0.25">
      <c r="C22" s="2">
        <v>7000</v>
      </c>
      <c r="D22" s="2">
        <v>140</v>
      </c>
      <c r="F22" s="3">
        <v>1.181319</v>
      </c>
      <c r="G22" s="4">
        <v>1.34E-4</v>
      </c>
      <c r="H22" s="5">
        <f t="shared" si="0"/>
        <v>13.4</v>
      </c>
      <c r="I22" s="4">
        <v>4.6988029999999997E-3</v>
      </c>
      <c r="J22" s="4">
        <v>4.7155179999999997E-5</v>
      </c>
      <c r="K22" s="5">
        <f t="shared" si="1"/>
        <v>469.88029999999998</v>
      </c>
      <c r="L22" s="5">
        <f t="shared" si="1"/>
        <v>4.7155179999999994</v>
      </c>
    </row>
    <row r="23" spans="3:20" x14ac:dyDescent="0.25">
      <c r="C23" s="2">
        <v>7500</v>
      </c>
      <c r="D23" s="2">
        <v>150</v>
      </c>
      <c r="F23" s="3">
        <v>1.165605</v>
      </c>
      <c r="G23" s="4">
        <v>1.17E-4</v>
      </c>
      <c r="H23" s="5">
        <f t="shared" si="0"/>
        <v>11.7</v>
      </c>
      <c r="I23" s="4">
        <v>4.5400359999999999E-3</v>
      </c>
      <c r="J23" s="4">
        <v>4.3950630000000001E-5</v>
      </c>
      <c r="K23" s="5">
        <f t="shared" si="1"/>
        <v>454.00360000000001</v>
      </c>
      <c r="L23" s="5">
        <f t="shared" si="1"/>
        <v>4.3950630000000004</v>
      </c>
    </row>
    <row r="24" spans="3:20" x14ac:dyDescent="0.25">
      <c r="C24" s="2">
        <v>8000</v>
      </c>
      <c r="D24" s="2">
        <v>160</v>
      </c>
      <c r="F24" s="3">
        <v>1.150415</v>
      </c>
      <c r="G24" s="4">
        <v>1.4300000000000001E-4</v>
      </c>
      <c r="H24" s="5">
        <f t="shared" si="0"/>
        <v>14.3</v>
      </c>
      <c r="I24" s="4">
        <v>4.4710849999999996E-3</v>
      </c>
      <c r="J24" s="4">
        <v>4.4419880000000003E-5</v>
      </c>
      <c r="K24" s="5">
        <f t="shared" si="1"/>
        <v>447.10849999999999</v>
      </c>
      <c r="L24" s="5">
        <f t="shared" si="1"/>
        <v>4.4419880000000003</v>
      </c>
    </row>
    <row r="25" spans="3:20" x14ac:dyDescent="0.25">
      <c r="C25" s="2">
        <v>8500</v>
      </c>
      <c r="D25" s="2">
        <v>170</v>
      </c>
      <c r="F25" s="3">
        <v>1.135772</v>
      </c>
      <c r="G25" s="4">
        <v>1.3100000000000001E-4</v>
      </c>
      <c r="H25" s="5">
        <f t="shared" ref="H25" si="2">G25*100000</f>
        <v>13.100000000000001</v>
      </c>
      <c r="I25" s="4">
        <v>4.3352709999999999E-3</v>
      </c>
      <c r="J25" s="4">
        <v>4.7422110000000002E-5</v>
      </c>
      <c r="K25" s="5">
        <f t="shared" ref="K25" si="3">I25*100000</f>
        <v>433.52710000000002</v>
      </c>
      <c r="L25" s="5">
        <f t="shared" ref="L25" si="4">J25*100000</f>
        <v>4.7422110000000002</v>
      </c>
    </row>
    <row r="27" spans="3:20" x14ac:dyDescent="0.25">
      <c r="C27" s="15" t="s">
        <v>1</v>
      </c>
      <c r="D27" s="15"/>
      <c r="F27" s="15" t="s">
        <v>10</v>
      </c>
      <c r="G27" s="15"/>
      <c r="H27" s="15"/>
      <c r="I27" s="15"/>
      <c r="J27" s="15"/>
      <c r="K27" s="15"/>
      <c r="L27" s="15"/>
      <c r="N27" s="15" t="s">
        <v>12</v>
      </c>
      <c r="O27" s="15"/>
      <c r="P27" s="15"/>
      <c r="Q27" s="15"/>
      <c r="R27" s="15"/>
      <c r="S27" s="15"/>
      <c r="T27" s="15"/>
    </row>
    <row r="28" spans="3:20" x14ac:dyDescent="0.25">
      <c r="C28" s="2" t="s">
        <v>2</v>
      </c>
      <c r="D28" s="2" t="s">
        <v>3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6</v>
      </c>
      <c r="K28" s="2" t="s">
        <v>9</v>
      </c>
      <c r="L28" s="2" t="s">
        <v>7</v>
      </c>
      <c r="N28" s="2" t="s">
        <v>5</v>
      </c>
      <c r="O28" s="2" t="s">
        <v>6</v>
      </c>
      <c r="P28" s="2" t="s">
        <v>7</v>
      </c>
      <c r="Q28" s="2" t="s">
        <v>8</v>
      </c>
      <c r="R28" s="2" t="s">
        <v>6</v>
      </c>
      <c r="S28" s="2" t="s">
        <v>9</v>
      </c>
      <c r="T28" s="2" t="s">
        <v>7</v>
      </c>
    </row>
    <row r="29" spans="3:20" x14ac:dyDescent="0.25">
      <c r="C29" s="2">
        <v>0</v>
      </c>
      <c r="D29" s="2">
        <v>0</v>
      </c>
      <c r="F29" s="3">
        <v>1.408156</v>
      </c>
      <c r="G29" s="4">
        <v>1.4999999999999999E-4</v>
      </c>
      <c r="H29" s="5">
        <f>G29*100000</f>
        <v>14.999999999999998</v>
      </c>
      <c r="I29" s="4">
        <v>6.7736050000000003E-3</v>
      </c>
      <c r="J29" s="4">
        <v>5.1057039999999999E-5</v>
      </c>
      <c r="K29" s="5">
        <f>I29*100000</f>
        <v>677.3605</v>
      </c>
      <c r="L29" s="5">
        <f>J29*100000</f>
        <v>5.1057040000000002</v>
      </c>
      <c r="N29" s="3">
        <v>0</v>
      </c>
      <c r="O29" s="4">
        <v>0</v>
      </c>
      <c r="P29" s="5">
        <f>O29*100000</f>
        <v>0</v>
      </c>
      <c r="Q29" s="4">
        <v>6.7736050000000003E-3</v>
      </c>
      <c r="R29" s="4">
        <v>5.1057039999999999E-5</v>
      </c>
      <c r="S29" s="5">
        <f>Q29*100000</f>
        <v>677.3605</v>
      </c>
      <c r="T29" s="5">
        <f>R29*100000</f>
        <v>5.1057040000000002</v>
      </c>
    </row>
    <row r="30" spans="3:20" x14ac:dyDescent="0.25">
      <c r="C30" s="2">
        <v>250</v>
      </c>
      <c r="D30" s="2">
        <v>5</v>
      </c>
      <c r="F30" s="3">
        <v>1.4005460000000001</v>
      </c>
      <c r="G30" s="4">
        <v>1.37E-4</v>
      </c>
      <c r="H30" s="5">
        <f t="shared" ref="H30:H47" si="5">G30*100000</f>
        <v>13.7</v>
      </c>
      <c r="I30" s="4">
        <v>6.7447000000000002E-3</v>
      </c>
      <c r="J30" s="4">
        <v>5.9722000000000002E-5</v>
      </c>
      <c r="K30" s="5">
        <f t="shared" ref="K30:K47" si="6">I30*100000</f>
        <v>674.47</v>
      </c>
      <c r="L30" s="5">
        <f t="shared" ref="L30:L47" si="7">J30*100000</f>
        <v>5.9722</v>
      </c>
      <c r="N30" s="3">
        <v>0</v>
      </c>
      <c r="O30" s="4">
        <v>0</v>
      </c>
      <c r="P30" s="5">
        <f t="shared" ref="P30:P47" si="8">O30*100000</f>
        <v>0</v>
      </c>
      <c r="Q30" s="4">
        <v>6.7447000000000002E-3</v>
      </c>
      <c r="R30" s="4">
        <v>5.9722000000000002E-5</v>
      </c>
      <c r="S30" s="5">
        <f t="shared" ref="S30:S47" si="9">Q30*100000</f>
        <v>674.47</v>
      </c>
      <c r="T30" s="5">
        <f t="shared" ref="T30:T47" si="10">R30*100000</f>
        <v>5.9722</v>
      </c>
    </row>
    <row r="31" spans="3:20" x14ac:dyDescent="0.25">
      <c r="C31" s="2">
        <v>500</v>
      </c>
      <c r="D31" s="2">
        <v>10</v>
      </c>
      <c r="F31" s="3">
        <v>1.3931979999999999</v>
      </c>
      <c r="G31" s="4">
        <v>1.45E-4</v>
      </c>
      <c r="H31" s="5">
        <f t="shared" si="5"/>
        <v>14.5</v>
      </c>
      <c r="I31" s="4">
        <v>6.695197E-3</v>
      </c>
      <c r="J31" s="4">
        <v>5.7932239999999997E-5</v>
      </c>
      <c r="K31" s="5">
        <f t="shared" si="6"/>
        <v>669.51969999999994</v>
      </c>
      <c r="L31" s="5">
        <f t="shared" si="7"/>
        <v>5.7932239999999995</v>
      </c>
      <c r="N31" s="3">
        <v>0</v>
      </c>
      <c r="O31" s="4">
        <v>0</v>
      </c>
      <c r="P31" s="5">
        <f t="shared" si="8"/>
        <v>0</v>
      </c>
      <c r="Q31" s="4">
        <v>6.695197E-3</v>
      </c>
      <c r="R31" s="4">
        <v>5.7932239999999997E-5</v>
      </c>
      <c r="S31" s="5">
        <f t="shared" si="9"/>
        <v>669.51969999999994</v>
      </c>
      <c r="T31" s="5">
        <f t="shared" si="10"/>
        <v>5.7932239999999995</v>
      </c>
    </row>
    <row r="32" spans="3:20" x14ac:dyDescent="0.25">
      <c r="C32" s="2">
        <v>1000</v>
      </c>
      <c r="D32" s="2">
        <v>20</v>
      </c>
      <c r="F32" s="3">
        <v>1.3783179999999999</v>
      </c>
      <c r="G32" s="4">
        <v>1.4300000000000001E-4</v>
      </c>
      <c r="H32" s="5">
        <f t="shared" si="5"/>
        <v>14.3</v>
      </c>
      <c r="I32" s="4">
        <v>6.534766E-3</v>
      </c>
      <c r="J32" s="4">
        <v>5.3826419999999998E-5</v>
      </c>
      <c r="K32" s="5">
        <f t="shared" si="6"/>
        <v>653.47659999999996</v>
      </c>
      <c r="L32" s="5">
        <f t="shared" si="7"/>
        <v>5.3826419999999997</v>
      </c>
      <c r="N32" s="3">
        <v>0</v>
      </c>
      <c r="O32" s="4">
        <v>0</v>
      </c>
      <c r="P32" s="5">
        <f t="shared" si="8"/>
        <v>0</v>
      </c>
      <c r="Q32" s="4">
        <v>6.534766E-3</v>
      </c>
      <c r="R32" s="4">
        <v>5.3826419999999998E-5</v>
      </c>
      <c r="S32" s="5">
        <f t="shared" si="9"/>
        <v>653.47659999999996</v>
      </c>
      <c r="T32" s="5">
        <f t="shared" si="10"/>
        <v>5.3826419999999997</v>
      </c>
    </row>
    <row r="33" spans="3:22" x14ac:dyDescent="0.25">
      <c r="C33" s="2">
        <v>1500</v>
      </c>
      <c r="D33" s="2">
        <v>30</v>
      </c>
      <c r="F33" s="3">
        <v>1.3627480000000001</v>
      </c>
      <c r="G33" s="4">
        <v>1.46E-4</v>
      </c>
      <c r="H33" s="5">
        <f t="shared" si="5"/>
        <v>14.6</v>
      </c>
      <c r="I33" s="4">
        <v>6.3791739999999996E-3</v>
      </c>
      <c r="J33" s="4">
        <v>5.6335590000000002E-5</v>
      </c>
      <c r="K33" s="5">
        <f t="shared" si="6"/>
        <v>637.91739999999993</v>
      </c>
      <c r="L33" s="5">
        <f t="shared" si="7"/>
        <v>5.633559</v>
      </c>
      <c r="N33" s="3">
        <v>0</v>
      </c>
      <c r="O33" s="4">
        <v>0</v>
      </c>
      <c r="P33" s="5">
        <f t="shared" si="8"/>
        <v>0</v>
      </c>
      <c r="Q33" s="4">
        <v>6.3791739999999996E-3</v>
      </c>
      <c r="R33" s="4">
        <v>5.6335590000000002E-5</v>
      </c>
      <c r="S33" s="5">
        <f t="shared" si="9"/>
        <v>637.91739999999993</v>
      </c>
      <c r="T33" s="5">
        <f t="shared" si="10"/>
        <v>5.633559</v>
      </c>
    </row>
    <row r="34" spans="3:22" x14ac:dyDescent="0.25">
      <c r="C34" s="2">
        <v>2000</v>
      </c>
      <c r="D34" s="2">
        <v>40</v>
      </c>
      <c r="F34" s="3">
        <v>1.3469679999999999</v>
      </c>
      <c r="G34" s="4">
        <v>1.3999999999999999E-4</v>
      </c>
      <c r="H34" s="5">
        <f t="shared" si="5"/>
        <v>13.999999999999998</v>
      </c>
      <c r="I34" s="4">
        <v>6.2655890000000002E-3</v>
      </c>
      <c r="J34" s="4">
        <v>5.393241E-5</v>
      </c>
      <c r="K34" s="5">
        <f t="shared" si="6"/>
        <v>626.55889999999999</v>
      </c>
      <c r="L34" s="5">
        <f t="shared" si="7"/>
        <v>5.3932409999999997</v>
      </c>
      <c r="N34" s="3">
        <v>0</v>
      </c>
      <c r="O34" s="4">
        <v>0</v>
      </c>
      <c r="P34" s="5">
        <f t="shared" si="8"/>
        <v>0</v>
      </c>
      <c r="Q34" s="4">
        <v>6.2655890000000002E-3</v>
      </c>
      <c r="R34" s="4">
        <v>5.393241E-5</v>
      </c>
      <c r="S34" s="5">
        <f t="shared" si="9"/>
        <v>626.55889999999999</v>
      </c>
      <c r="T34" s="5">
        <f t="shared" si="10"/>
        <v>5.3932409999999997</v>
      </c>
    </row>
    <row r="35" spans="3:22" x14ac:dyDescent="0.25">
      <c r="C35" s="2">
        <v>2500</v>
      </c>
      <c r="D35" s="2">
        <v>50</v>
      </c>
      <c r="F35" s="3">
        <v>1.330616</v>
      </c>
      <c r="G35" s="4">
        <v>1.45E-4</v>
      </c>
      <c r="H35" s="5">
        <f t="shared" si="5"/>
        <v>14.5</v>
      </c>
      <c r="I35" s="4">
        <v>6.0921639999999997E-3</v>
      </c>
      <c r="J35" s="4">
        <v>5.3272780000000001E-5</v>
      </c>
      <c r="K35" s="5">
        <f t="shared" si="6"/>
        <v>609.21640000000002</v>
      </c>
      <c r="L35" s="5">
        <f t="shared" si="7"/>
        <v>5.3272779999999997</v>
      </c>
      <c r="N35" s="3">
        <v>0</v>
      </c>
      <c r="O35" s="4">
        <v>0</v>
      </c>
      <c r="P35" s="5">
        <f t="shared" si="8"/>
        <v>0</v>
      </c>
      <c r="Q35" s="4">
        <v>6.0921639999999997E-3</v>
      </c>
      <c r="R35" s="4">
        <v>5.3272780000000001E-5</v>
      </c>
      <c r="S35" s="5">
        <f t="shared" si="9"/>
        <v>609.21640000000002</v>
      </c>
      <c r="T35" s="5">
        <f t="shared" si="10"/>
        <v>5.3272779999999997</v>
      </c>
    </row>
    <row r="36" spans="3:22" x14ac:dyDescent="0.25">
      <c r="C36" s="2">
        <v>3000</v>
      </c>
      <c r="D36" s="2">
        <v>60</v>
      </c>
      <c r="F36" s="3">
        <v>1.3142050000000001</v>
      </c>
      <c r="G36" s="4">
        <v>1.4799999999999999E-4</v>
      </c>
      <c r="H36" s="5">
        <f t="shared" si="5"/>
        <v>14.799999999999999</v>
      </c>
      <c r="I36" s="4">
        <v>5.9150779999999998E-3</v>
      </c>
      <c r="J36" s="4">
        <v>4.8378299999999997E-5</v>
      </c>
      <c r="K36" s="5">
        <f t="shared" si="6"/>
        <v>591.50779999999997</v>
      </c>
      <c r="L36" s="5">
        <f t="shared" si="7"/>
        <v>4.8378299999999994</v>
      </c>
      <c r="N36" s="3">
        <v>0</v>
      </c>
      <c r="O36" s="4">
        <v>0</v>
      </c>
      <c r="P36" s="5">
        <f t="shared" si="8"/>
        <v>0</v>
      </c>
      <c r="Q36" s="4">
        <v>5.9150779999999998E-3</v>
      </c>
      <c r="R36" s="4">
        <v>4.8378299999999997E-5</v>
      </c>
      <c r="S36" s="5">
        <f t="shared" si="9"/>
        <v>591.50779999999997</v>
      </c>
      <c r="T36" s="5">
        <f t="shared" si="10"/>
        <v>4.8378299999999994</v>
      </c>
    </row>
    <row r="37" spans="3:22" ht="15.75" x14ac:dyDescent="0.25">
      <c r="C37" s="6">
        <v>3500</v>
      </c>
      <c r="D37" s="6">
        <v>70</v>
      </c>
      <c r="F37" s="7">
        <v>1.297704</v>
      </c>
      <c r="G37" s="8">
        <v>1.3300000000000001E-4</v>
      </c>
      <c r="H37" s="9">
        <f t="shared" si="5"/>
        <v>13.3</v>
      </c>
      <c r="I37" s="8">
        <v>5.7876259999999997E-3</v>
      </c>
      <c r="J37" s="8">
        <v>5.5089529999999997E-5</v>
      </c>
      <c r="K37" s="9">
        <f t="shared" si="6"/>
        <v>578.76260000000002</v>
      </c>
      <c r="L37" s="9">
        <f t="shared" si="7"/>
        <v>5.508953</v>
      </c>
      <c r="N37" s="7">
        <v>1.297704</v>
      </c>
      <c r="O37" s="8">
        <v>1.3300000000000001E-4</v>
      </c>
      <c r="P37" s="9">
        <f t="shared" si="8"/>
        <v>13.3</v>
      </c>
      <c r="Q37" s="8">
        <v>5.7876259999999997E-3</v>
      </c>
      <c r="R37" s="8">
        <v>5.5089529999999997E-5</v>
      </c>
      <c r="S37" s="9">
        <f t="shared" si="9"/>
        <v>578.76260000000002</v>
      </c>
      <c r="T37" s="9">
        <f t="shared" si="10"/>
        <v>5.508953</v>
      </c>
      <c r="V37" s="10" t="s">
        <v>11</v>
      </c>
    </row>
    <row r="38" spans="3:22" x14ac:dyDescent="0.25">
      <c r="C38" s="2">
        <v>4000</v>
      </c>
      <c r="D38" s="2">
        <v>80</v>
      </c>
      <c r="F38" s="3"/>
      <c r="G38" s="4"/>
      <c r="H38" s="5">
        <f t="shared" si="5"/>
        <v>0</v>
      </c>
      <c r="I38" s="4"/>
      <c r="J38" s="4"/>
      <c r="K38" s="5">
        <f t="shared" si="6"/>
        <v>0</v>
      </c>
      <c r="L38" s="5">
        <f t="shared" si="7"/>
        <v>0</v>
      </c>
      <c r="N38" s="3">
        <v>1.289194</v>
      </c>
      <c r="O38" s="4">
        <v>1.45E-4</v>
      </c>
      <c r="P38" s="5">
        <f t="shared" si="8"/>
        <v>14.5</v>
      </c>
      <c r="Q38" s="4">
        <v>5.6875040000000003E-3</v>
      </c>
      <c r="R38" s="4">
        <v>4.643241E-5</v>
      </c>
      <c r="S38" s="5">
        <f t="shared" si="9"/>
        <v>568.75040000000001</v>
      </c>
      <c r="T38" s="5">
        <f t="shared" si="10"/>
        <v>4.6432409999999997</v>
      </c>
    </row>
    <row r="39" spans="3:22" x14ac:dyDescent="0.25">
      <c r="C39" s="2">
        <v>4500</v>
      </c>
      <c r="D39" s="2">
        <v>90</v>
      </c>
      <c r="F39" s="3"/>
      <c r="G39" s="4"/>
      <c r="H39" s="5">
        <f t="shared" si="5"/>
        <v>0</v>
      </c>
      <c r="I39" s="4"/>
      <c r="J39" s="4"/>
      <c r="K39" s="5">
        <f t="shared" si="6"/>
        <v>0</v>
      </c>
      <c r="L39" s="5">
        <f t="shared" si="7"/>
        <v>0</v>
      </c>
      <c r="N39" s="3">
        <v>1.272259</v>
      </c>
      <c r="O39" s="4">
        <v>1.54E-4</v>
      </c>
      <c r="P39" s="5">
        <f t="shared" si="8"/>
        <v>15.4</v>
      </c>
      <c r="Q39" s="4">
        <v>5.5945320000000002E-3</v>
      </c>
      <c r="R39" s="4">
        <v>4.8187450000000002E-5</v>
      </c>
      <c r="S39" s="5">
        <f t="shared" si="9"/>
        <v>559.45320000000004</v>
      </c>
      <c r="T39" s="5">
        <f t="shared" si="10"/>
        <v>4.8187449999999998</v>
      </c>
    </row>
    <row r="40" spans="3:22" x14ac:dyDescent="0.25">
      <c r="C40" s="2">
        <v>5000</v>
      </c>
      <c r="D40" s="2">
        <v>100</v>
      </c>
      <c r="F40" s="3"/>
      <c r="G40" s="4"/>
      <c r="H40" s="5">
        <f t="shared" si="5"/>
        <v>0</v>
      </c>
      <c r="I40" s="4"/>
      <c r="J40" s="4"/>
      <c r="K40" s="5">
        <f t="shared" si="6"/>
        <v>0</v>
      </c>
      <c r="L40" s="5">
        <f t="shared" si="7"/>
        <v>0</v>
      </c>
      <c r="N40" s="3">
        <v>1.2554989999999999</v>
      </c>
      <c r="O40" s="4">
        <v>1.3100000000000001E-4</v>
      </c>
      <c r="P40" s="5">
        <f t="shared" si="8"/>
        <v>13.100000000000001</v>
      </c>
      <c r="Q40" s="4">
        <v>5.4547459999999999E-3</v>
      </c>
      <c r="R40" s="4">
        <v>5.1639450000000002E-5</v>
      </c>
      <c r="S40" s="5">
        <f t="shared" si="9"/>
        <v>545.47460000000001</v>
      </c>
      <c r="T40" s="5">
        <f t="shared" si="10"/>
        <v>5.163945</v>
      </c>
    </row>
    <row r="41" spans="3:22" x14ac:dyDescent="0.25">
      <c r="C41" s="2">
        <v>5500</v>
      </c>
      <c r="D41" s="2">
        <v>110</v>
      </c>
      <c r="F41" s="3"/>
      <c r="G41" s="4"/>
      <c r="H41" s="5">
        <f t="shared" si="5"/>
        <v>0</v>
      </c>
      <c r="I41" s="4"/>
      <c r="J41" s="4"/>
      <c r="K41" s="5">
        <f t="shared" si="6"/>
        <v>0</v>
      </c>
      <c r="L41" s="5">
        <f t="shared" si="7"/>
        <v>0</v>
      </c>
      <c r="N41" s="3">
        <v>1.2387649999999999</v>
      </c>
      <c r="O41" s="4">
        <v>1.47E-4</v>
      </c>
      <c r="P41" s="5">
        <f t="shared" si="8"/>
        <v>14.7</v>
      </c>
      <c r="Q41" s="4">
        <v>5.2469999999999999E-3</v>
      </c>
      <c r="R41" s="4">
        <v>4.8639210000000001E-5</v>
      </c>
      <c r="S41" s="5">
        <f t="shared" si="9"/>
        <v>524.70000000000005</v>
      </c>
      <c r="T41" s="5">
        <f t="shared" si="10"/>
        <v>4.8639210000000004</v>
      </c>
    </row>
    <row r="42" spans="3:22" x14ac:dyDescent="0.25">
      <c r="C42" s="2">
        <v>6000</v>
      </c>
      <c r="D42" s="2">
        <v>120</v>
      </c>
      <c r="F42" s="3"/>
      <c r="G42" s="4"/>
      <c r="H42" s="5">
        <f t="shared" si="5"/>
        <v>0</v>
      </c>
      <c r="I42" s="4"/>
      <c r="J42" s="4"/>
      <c r="K42" s="5">
        <f t="shared" si="6"/>
        <v>0</v>
      </c>
      <c r="L42" s="5">
        <f t="shared" si="7"/>
        <v>0</v>
      </c>
      <c r="N42" s="3">
        <v>1.2219450000000001</v>
      </c>
      <c r="O42" s="4">
        <v>1.27E-4</v>
      </c>
      <c r="P42" s="5">
        <f t="shared" si="8"/>
        <v>12.7</v>
      </c>
      <c r="Q42" s="4">
        <v>5.1088710000000001E-3</v>
      </c>
      <c r="R42" s="4">
        <v>4.8684989999999998E-5</v>
      </c>
      <c r="S42" s="5">
        <f t="shared" si="9"/>
        <v>510.88710000000003</v>
      </c>
      <c r="T42" s="5">
        <f t="shared" si="10"/>
        <v>4.8684989999999999</v>
      </c>
    </row>
    <row r="43" spans="3:22" x14ac:dyDescent="0.25">
      <c r="C43" s="2">
        <v>6500</v>
      </c>
      <c r="D43" s="2">
        <v>130</v>
      </c>
      <c r="F43" s="3"/>
      <c r="G43" s="4"/>
      <c r="H43" s="5">
        <f t="shared" si="5"/>
        <v>0</v>
      </c>
      <c r="I43" s="4"/>
      <c r="J43" s="4"/>
      <c r="K43" s="5">
        <f t="shared" si="6"/>
        <v>0</v>
      </c>
      <c r="L43" s="5">
        <f t="shared" si="7"/>
        <v>0</v>
      </c>
      <c r="N43" s="3">
        <v>1.2055</v>
      </c>
      <c r="O43" s="4">
        <v>1.3200000000000001E-4</v>
      </c>
      <c r="P43" s="5">
        <f t="shared" si="8"/>
        <v>13.200000000000001</v>
      </c>
      <c r="Q43" s="4">
        <v>4.9377070000000004E-3</v>
      </c>
      <c r="R43" s="4">
        <v>4.5959140000000001E-5</v>
      </c>
      <c r="S43" s="5">
        <f t="shared" si="9"/>
        <v>493.77070000000003</v>
      </c>
      <c r="T43" s="5">
        <f t="shared" si="10"/>
        <v>4.5959140000000005</v>
      </c>
    </row>
    <row r="44" spans="3:22" x14ac:dyDescent="0.25">
      <c r="C44" s="2">
        <v>7000</v>
      </c>
      <c r="D44" s="2">
        <v>140</v>
      </c>
      <c r="F44" s="3"/>
      <c r="G44" s="4"/>
      <c r="H44" s="5">
        <f t="shared" si="5"/>
        <v>0</v>
      </c>
      <c r="I44" s="4"/>
      <c r="J44" s="4"/>
      <c r="K44" s="5">
        <f t="shared" si="6"/>
        <v>0</v>
      </c>
      <c r="L44" s="5">
        <f t="shared" si="7"/>
        <v>0</v>
      </c>
      <c r="N44" s="3">
        <v>1.1894370000000001</v>
      </c>
      <c r="O44" s="4">
        <v>1.3999999999999999E-4</v>
      </c>
      <c r="P44" s="5">
        <f t="shared" si="8"/>
        <v>13.999999999999998</v>
      </c>
      <c r="Q44" s="4">
        <v>4.8243349999999999E-3</v>
      </c>
      <c r="R44" s="4">
        <v>4.659262E-5</v>
      </c>
      <c r="S44" s="5">
        <f t="shared" si="9"/>
        <v>482.43349999999998</v>
      </c>
      <c r="T44" s="5">
        <f t="shared" si="10"/>
        <v>4.659262</v>
      </c>
    </row>
    <row r="45" spans="3:22" x14ac:dyDescent="0.25">
      <c r="C45" s="2">
        <v>7500</v>
      </c>
      <c r="D45" s="2">
        <v>150</v>
      </c>
      <c r="F45" s="3"/>
      <c r="G45" s="4"/>
      <c r="H45" s="5">
        <f t="shared" si="5"/>
        <v>0</v>
      </c>
      <c r="I45" s="4"/>
      <c r="J45" s="4"/>
      <c r="K45" s="5">
        <f t="shared" si="6"/>
        <v>0</v>
      </c>
      <c r="L45" s="5">
        <f t="shared" si="7"/>
        <v>0</v>
      </c>
      <c r="N45" s="3">
        <v>1.173441</v>
      </c>
      <c r="O45" s="4">
        <v>1.27E-4</v>
      </c>
      <c r="P45" s="5">
        <f t="shared" si="8"/>
        <v>12.7</v>
      </c>
      <c r="Q45" s="4">
        <v>4.6279809999999998E-3</v>
      </c>
      <c r="R45" s="4">
        <v>4.2552100000000002E-5</v>
      </c>
      <c r="S45" s="5">
        <f t="shared" si="9"/>
        <v>462.79809999999998</v>
      </c>
      <c r="T45" s="5">
        <f t="shared" si="10"/>
        <v>4.2552099999999999</v>
      </c>
    </row>
    <row r="46" spans="3:22" x14ac:dyDescent="0.25">
      <c r="C46" s="2">
        <v>8000</v>
      </c>
      <c r="D46" s="2">
        <v>160</v>
      </c>
      <c r="F46" s="3"/>
      <c r="G46" s="4"/>
      <c r="H46" s="5">
        <f t="shared" si="5"/>
        <v>0</v>
      </c>
      <c r="I46" s="4"/>
      <c r="J46" s="4"/>
      <c r="K46" s="5">
        <f t="shared" si="6"/>
        <v>0</v>
      </c>
      <c r="L46" s="5">
        <f t="shared" si="7"/>
        <v>0</v>
      </c>
      <c r="N46" s="3">
        <v>1.158218</v>
      </c>
      <c r="O46" s="4">
        <v>1.37E-4</v>
      </c>
      <c r="P46" s="5">
        <f t="shared" si="8"/>
        <v>13.7</v>
      </c>
      <c r="Q46" s="4">
        <v>4.5764339999999999E-3</v>
      </c>
      <c r="R46" s="4">
        <v>4.1830940000000002E-5</v>
      </c>
      <c r="S46" s="5">
        <f t="shared" si="9"/>
        <v>457.64339999999999</v>
      </c>
      <c r="T46" s="5">
        <f t="shared" si="10"/>
        <v>4.1830940000000005</v>
      </c>
    </row>
    <row r="47" spans="3:22" x14ac:dyDescent="0.25">
      <c r="C47" s="2">
        <v>8500</v>
      </c>
      <c r="D47" s="2">
        <v>170</v>
      </c>
      <c r="F47" s="3"/>
      <c r="G47" s="4"/>
      <c r="H47" s="5">
        <f t="shared" si="5"/>
        <v>0</v>
      </c>
      <c r="I47" s="4"/>
      <c r="J47" s="4"/>
      <c r="K47" s="5">
        <f t="shared" si="6"/>
        <v>0</v>
      </c>
      <c r="L47" s="5">
        <f t="shared" si="7"/>
        <v>0</v>
      </c>
      <c r="N47" s="3">
        <v>1.14299</v>
      </c>
      <c r="O47" s="4">
        <v>1.35E-4</v>
      </c>
      <c r="P47" s="5">
        <f t="shared" si="8"/>
        <v>13.5</v>
      </c>
      <c r="Q47" s="4">
        <v>4.397181E-3</v>
      </c>
      <c r="R47" s="4">
        <v>4.1709480000000003E-5</v>
      </c>
      <c r="S47" s="5">
        <f t="shared" si="9"/>
        <v>439.71809999999999</v>
      </c>
      <c r="T47" s="5">
        <f t="shared" si="10"/>
        <v>4.1709480000000001</v>
      </c>
    </row>
    <row r="49" spans="3:3" x14ac:dyDescent="0.25">
      <c r="C49" s="11" t="s">
        <v>16</v>
      </c>
    </row>
    <row r="50" spans="3:3" x14ac:dyDescent="0.25">
      <c r="C50" s="12" t="s">
        <v>17</v>
      </c>
    </row>
    <row r="51" spans="3:3" x14ac:dyDescent="0.25">
      <c r="C51" s="13" t="s">
        <v>18</v>
      </c>
    </row>
    <row r="52" spans="3:3" x14ac:dyDescent="0.25">
      <c r="C52" s="14" t="s">
        <v>19</v>
      </c>
    </row>
  </sheetData>
  <mergeCells count="5">
    <mergeCell ref="C5:D5"/>
    <mergeCell ref="F5:L5"/>
    <mergeCell ref="C27:D27"/>
    <mergeCell ref="F27:L27"/>
    <mergeCell ref="N27:T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9A5F-00FA-4C8F-A87E-CECC8108A6F7}">
  <dimension ref="C3:V52"/>
  <sheetViews>
    <sheetView tabSelected="1" zoomScaleNormal="100" workbookViewId="0">
      <selection activeCell="W22" sqref="W22"/>
    </sheetView>
  </sheetViews>
  <sheetFormatPr defaultRowHeight="15" x14ac:dyDescent="0.25"/>
  <cols>
    <col min="8" max="8" width="12.375" customWidth="1"/>
    <col min="9" max="9" width="13.5" customWidth="1"/>
    <col min="10" max="10" width="14.125" customWidth="1"/>
    <col min="11" max="11" width="13.375" customWidth="1"/>
    <col min="12" max="12" width="19.875" customWidth="1"/>
    <col min="14" max="14" width="12.125" customWidth="1"/>
    <col min="15" max="15" width="15" customWidth="1"/>
    <col min="16" max="16" width="12" customWidth="1"/>
    <col min="17" max="17" width="11.5" customWidth="1"/>
    <col min="18" max="18" width="11.875" customWidth="1"/>
    <col min="19" max="19" width="12.5" customWidth="1"/>
    <col min="20" max="20" width="13.25" customWidth="1"/>
  </cols>
  <sheetData>
    <row r="3" spans="3:12" x14ac:dyDescent="0.25">
      <c r="C3" s="1" t="s">
        <v>0</v>
      </c>
    </row>
    <row r="5" spans="3:12" x14ac:dyDescent="0.25">
      <c r="C5" s="15" t="s">
        <v>1</v>
      </c>
      <c r="D5" s="15"/>
      <c r="F5" s="15" t="s">
        <v>13</v>
      </c>
      <c r="G5" s="15"/>
      <c r="H5" s="15"/>
      <c r="I5" s="15"/>
      <c r="J5" s="15"/>
      <c r="K5" s="15"/>
      <c r="L5" s="15"/>
    </row>
    <row r="6" spans="3:12" x14ac:dyDescent="0.25">
      <c r="C6" s="2" t="s">
        <v>2</v>
      </c>
      <c r="D6" s="2" t="s">
        <v>3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6</v>
      </c>
      <c r="K6" s="2" t="s">
        <v>9</v>
      </c>
      <c r="L6" s="2" t="s">
        <v>7</v>
      </c>
    </row>
    <row r="7" spans="3:12" x14ac:dyDescent="0.25">
      <c r="C7" s="2">
        <v>0</v>
      </c>
      <c r="D7" s="2">
        <v>0</v>
      </c>
      <c r="F7" s="3">
        <v>1.4080809999999999</v>
      </c>
      <c r="G7" s="4">
        <v>1.3899999999999999E-4</v>
      </c>
      <c r="H7" s="5">
        <f>G7*100000</f>
        <v>13.899999999999999</v>
      </c>
      <c r="I7" s="4">
        <v>6.7564269999999997E-3</v>
      </c>
      <c r="J7" s="4">
        <v>5.2460480000000002E-5</v>
      </c>
      <c r="K7" s="5">
        <f>I7*100000</f>
        <v>675.64269999999999</v>
      </c>
      <c r="L7" s="5">
        <f>J7*100000</f>
        <v>5.246048</v>
      </c>
    </row>
    <row r="8" spans="3:12" x14ac:dyDescent="0.25">
      <c r="C8" s="2">
        <v>250</v>
      </c>
      <c r="D8" s="2">
        <v>5</v>
      </c>
      <c r="F8" s="3">
        <v>1.400739</v>
      </c>
      <c r="G8" s="4">
        <v>1.36E-4</v>
      </c>
      <c r="H8" s="5">
        <f t="shared" ref="H8:H25" si="0">G8*100000</f>
        <v>13.6</v>
      </c>
      <c r="I8" s="4">
        <v>6.7840849999999996E-3</v>
      </c>
      <c r="J8" s="4">
        <v>6.1718510000000003E-5</v>
      </c>
      <c r="K8" s="5">
        <f t="shared" ref="K8:L24" si="1">I8*100000</f>
        <v>678.4085</v>
      </c>
      <c r="L8" s="5">
        <f t="shared" si="1"/>
        <v>6.1718510000000002</v>
      </c>
    </row>
    <row r="9" spans="3:12" x14ac:dyDescent="0.25">
      <c r="C9" s="2">
        <v>500</v>
      </c>
      <c r="D9" s="2">
        <v>10</v>
      </c>
      <c r="F9" s="3">
        <v>1.3930959999999999</v>
      </c>
      <c r="G9" s="4">
        <v>1.4999999999999999E-4</v>
      </c>
      <c r="H9" s="5">
        <f t="shared" si="0"/>
        <v>14.999999999999998</v>
      </c>
      <c r="I9" s="4">
        <v>6.7418490000000003E-3</v>
      </c>
      <c r="J9" s="4">
        <v>5.624188E-5</v>
      </c>
      <c r="K9" s="5">
        <f t="shared" si="1"/>
        <v>674.18490000000008</v>
      </c>
      <c r="L9" s="5">
        <f t="shared" si="1"/>
        <v>5.6241880000000002</v>
      </c>
    </row>
    <row r="10" spans="3:12" x14ac:dyDescent="0.25">
      <c r="C10" s="2">
        <v>1000</v>
      </c>
      <c r="D10" s="2">
        <v>20</v>
      </c>
      <c r="F10" s="3">
        <v>1.3785229999999999</v>
      </c>
      <c r="G10" s="4">
        <v>1.35E-4</v>
      </c>
      <c r="H10" s="5">
        <f t="shared" si="0"/>
        <v>13.5</v>
      </c>
      <c r="I10" s="4">
        <v>6.5462740000000004E-3</v>
      </c>
      <c r="J10" s="4">
        <v>5.4648709999999998E-5</v>
      </c>
      <c r="K10" s="5">
        <f t="shared" si="1"/>
        <v>654.62740000000008</v>
      </c>
      <c r="L10" s="5">
        <f t="shared" si="1"/>
        <v>5.4648709999999996</v>
      </c>
    </row>
    <row r="11" spans="3:12" x14ac:dyDescent="0.25">
      <c r="C11" s="2">
        <v>1500</v>
      </c>
      <c r="D11" s="2">
        <v>30</v>
      </c>
      <c r="F11" s="3">
        <v>1.362908</v>
      </c>
      <c r="G11" s="4">
        <v>1.4300000000000001E-4</v>
      </c>
      <c r="H11" s="5">
        <f t="shared" si="0"/>
        <v>14.3</v>
      </c>
      <c r="I11" s="4">
        <v>6.4437219999999998E-3</v>
      </c>
      <c r="J11" s="4">
        <v>5.0740179999999998E-5</v>
      </c>
      <c r="K11" s="5">
        <f t="shared" si="1"/>
        <v>644.37220000000002</v>
      </c>
      <c r="L11" s="5">
        <f t="shared" si="1"/>
        <v>5.0740179999999997</v>
      </c>
    </row>
    <row r="12" spans="3:12" x14ac:dyDescent="0.25">
      <c r="C12" s="2">
        <v>2000</v>
      </c>
      <c r="D12" s="2">
        <v>40</v>
      </c>
      <c r="F12" s="3">
        <v>1.3470789999999999</v>
      </c>
      <c r="G12" s="4">
        <v>1.3899999999999999E-4</v>
      </c>
      <c r="H12" s="5">
        <f t="shared" si="0"/>
        <v>13.899999999999999</v>
      </c>
      <c r="I12" s="4">
        <v>6.2439510000000002E-3</v>
      </c>
      <c r="J12" s="4">
        <v>5.8320640000000001E-5</v>
      </c>
      <c r="K12" s="5">
        <f t="shared" si="1"/>
        <v>624.39510000000007</v>
      </c>
      <c r="L12" s="5">
        <f t="shared" si="1"/>
        <v>5.8320639999999999</v>
      </c>
    </row>
    <row r="13" spans="3:12" x14ac:dyDescent="0.25">
      <c r="C13" s="2">
        <v>2500</v>
      </c>
      <c r="D13" s="2">
        <v>50</v>
      </c>
      <c r="F13" s="3">
        <v>1.3307329999999999</v>
      </c>
      <c r="G13" s="4">
        <v>1.37E-4</v>
      </c>
      <c r="H13" s="5">
        <f t="shared" si="0"/>
        <v>13.7</v>
      </c>
      <c r="I13" s="4">
        <v>6.0517310000000003E-3</v>
      </c>
      <c r="J13" s="4">
        <v>5.4208439999999997E-5</v>
      </c>
      <c r="K13" s="5">
        <f t="shared" si="1"/>
        <v>605.17309999999998</v>
      </c>
      <c r="L13" s="5">
        <f t="shared" si="1"/>
        <v>5.4208439999999998</v>
      </c>
    </row>
    <row r="14" spans="3:12" x14ac:dyDescent="0.25">
      <c r="C14" s="2">
        <v>3000</v>
      </c>
      <c r="D14" s="2">
        <v>60</v>
      </c>
      <c r="F14" s="3">
        <v>1.3141370000000001</v>
      </c>
      <c r="G14" s="4">
        <v>1.4100000000000001E-4</v>
      </c>
      <c r="H14" s="5">
        <f t="shared" si="0"/>
        <v>14.100000000000001</v>
      </c>
      <c r="I14" s="4">
        <v>5.8741380000000001E-3</v>
      </c>
      <c r="J14" s="4">
        <v>5.3601779999999998E-5</v>
      </c>
      <c r="K14" s="5">
        <f t="shared" si="1"/>
        <v>587.41380000000004</v>
      </c>
      <c r="L14" s="5">
        <f t="shared" si="1"/>
        <v>5.3601779999999994</v>
      </c>
    </row>
    <row r="15" spans="3:12" x14ac:dyDescent="0.25">
      <c r="C15" s="2">
        <v>3500</v>
      </c>
      <c r="D15" s="2">
        <v>70</v>
      </c>
      <c r="F15" s="3">
        <v>1.2977879999999999</v>
      </c>
      <c r="G15" s="4">
        <v>1.37E-4</v>
      </c>
      <c r="H15" s="5">
        <f t="shared" si="0"/>
        <v>13.7</v>
      </c>
      <c r="I15" s="4">
        <v>5.7632710000000004E-3</v>
      </c>
      <c r="J15" s="4">
        <v>5.5842489999999999E-5</v>
      </c>
      <c r="K15" s="5">
        <f t="shared" si="1"/>
        <v>576.32710000000009</v>
      </c>
      <c r="L15" s="5">
        <f t="shared" si="1"/>
        <v>5.5842489999999998</v>
      </c>
    </row>
    <row r="16" spans="3:12" x14ac:dyDescent="0.25">
      <c r="C16" s="2">
        <v>4000</v>
      </c>
      <c r="D16" s="2">
        <v>80</v>
      </c>
      <c r="F16" s="3">
        <v>1.2809330000000001</v>
      </c>
      <c r="G16" s="4">
        <v>1.3799999999999999E-4</v>
      </c>
      <c r="H16" s="5">
        <f t="shared" si="0"/>
        <v>13.799999999999999</v>
      </c>
      <c r="I16" s="4">
        <v>5.6371779999999996E-3</v>
      </c>
      <c r="J16" s="4">
        <v>5.3608169999999997E-5</v>
      </c>
      <c r="K16" s="5">
        <f t="shared" si="1"/>
        <v>563.71780000000001</v>
      </c>
      <c r="L16" s="5">
        <f t="shared" si="1"/>
        <v>5.3608169999999999</v>
      </c>
    </row>
    <row r="17" spans="3:20" x14ac:dyDescent="0.25">
      <c r="C17" s="2">
        <v>4500</v>
      </c>
      <c r="D17" s="2">
        <v>90</v>
      </c>
      <c r="F17" s="3">
        <v>1.2638480000000001</v>
      </c>
      <c r="G17" s="4">
        <v>1.3999999999999999E-4</v>
      </c>
      <c r="H17" s="5">
        <f t="shared" si="0"/>
        <v>13.999999999999998</v>
      </c>
      <c r="I17" s="4">
        <v>5.4108180000000004E-3</v>
      </c>
      <c r="J17" s="4">
        <v>4.66274E-5</v>
      </c>
      <c r="K17" s="5">
        <f t="shared" si="1"/>
        <v>541.08180000000004</v>
      </c>
      <c r="L17" s="5">
        <f t="shared" si="1"/>
        <v>4.6627400000000003</v>
      </c>
    </row>
    <row r="18" spans="3:20" x14ac:dyDescent="0.25">
      <c r="C18" s="2">
        <v>5000</v>
      </c>
      <c r="D18" s="2">
        <v>100</v>
      </c>
      <c r="F18" s="3">
        <v>1.2470289999999999</v>
      </c>
      <c r="G18" s="4">
        <v>1.47E-4</v>
      </c>
      <c r="H18" s="5">
        <f t="shared" si="0"/>
        <v>14.7</v>
      </c>
      <c r="I18" s="4">
        <v>5.244088E-3</v>
      </c>
      <c r="J18" s="4">
        <v>5.0444490000000001E-5</v>
      </c>
      <c r="K18" s="5">
        <f t="shared" si="1"/>
        <v>524.40880000000004</v>
      </c>
      <c r="L18" s="5">
        <f t="shared" si="1"/>
        <v>5.0444490000000002</v>
      </c>
    </row>
    <row r="19" spans="3:20" x14ac:dyDescent="0.25">
      <c r="C19" s="2">
        <v>5500</v>
      </c>
      <c r="D19" s="2">
        <v>110</v>
      </c>
      <c r="F19" s="3">
        <v>1.230294</v>
      </c>
      <c r="G19" s="4">
        <v>1.44E-4</v>
      </c>
      <c r="H19" s="5">
        <f t="shared" si="0"/>
        <v>14.4</v>
      </c>
      <c r="I19" s="4">
        <v>5.1598579999999998E-3</v>
      </c>
      <c r="J19" s="4">
        <v>4.8226210000000003E-5</v>
      </c>
      <c r="K19" s="5">
        <f t="shared" si="1"/>
        <v>515.98579999999993</v>
      </c>
      <c r="L19" s="5">
        <f t="shared" si="1"/>
        <v>4.8226210000000007</v>
      </c>
    </row>
    <row r="20" spans="3:20" x14ac:dyDescent="0.25">
      <c r="C20" s="2">
        <v>6000</v>
      </c>
      <c r="D20" s="2">
        <v>120</v>
      </c>
      <c r="F20" s="3">
        <v>1.2138119999999999</v>
      </c>
      <c r="G20" s="4">
        <v>1.2999999999999999E-4</v>
      </c>
      <c r="H20" s="5">
        <f t="shared" si="0"/>
        <v>12.999999999999998</v>
      </c>
      <c r="I20" s="4">
        <v>5.0047939999999999E-3</v>
      </c>
      <c r="J20" s="4">
        <v>4.6505799999999998E-5</v>
      </c>
      <c r="K20" s="5">
        <f t="shared" si="1"/>
        <v>500.4794</v>
      </c>
      <c r="L20" s="5">
        <f t="shared" si="1"/>
        <v>4.6505799999999997</v>
      </c>
    </row>
    <row r="21" spans="3:20" x14ac:dyDescent="0.25">
      <c r="C21" s="2">
        <v>6500</v>
      </c>
      <c r="D21" s="2">
        <v>130</v>
      </c>
      <c r="F21" s="3">
        <v>1.197546</v>
      </c>
      <c r="G21" s="4">
        <v>1.37E-4</v>
      </c>
      <c r="H21" s="5">
        <f t="shared" si="0"/>
        <v>13.7</v>
      </c>
      <c r="I21" s="4">
        <v>4.8853000000000004E-3</v>
      </c>
      <c r="J21" s="4">
        <v>4.5241139999999999E-5</v>
      </c>
      <c r="K21" s="5">
        <f t="shared" si="1"/>
        <v>488.53000000000003</v>
      </c>
      <c r="L21" s="5">
        <f t="shared" si="1"/>
        <v>4.524114</v>
      </c>
    </row>
    <row r="22" spans="3:20" x14ac:dyDescent="0.25">
      <c r="C22" s="2">
        <v>7000</v>
      </c>
      <c r="D22" s="2">
        <v>140</v>
      </c>
      <c r="F22" s="3">
        <v>1.1813849999999999</v>
      </c>
      <c r="G22" s="4">
        <v>1.27E-4</v>
      </c>
      <c r="H22" s="5">
        <f t="shared" si="0"/>
        <v>12.7</v>
      </c>
      <c r="I22" s="4">
        <v>4.7980760000000001E-3</v>
      </c>
      <c r="J22" s="4">
        <v>4.7089360000000001E-5</v>
      </c>
      <c r="K22" s="5">
        <f t="shared" si="1"/>
        <v>479.80759999999998</v>
      </c>
      <c r="L22" s="5">
        <f t="shared" si="1"/>
        <v>4.7089360000000005</v>
      </c>
    </row>
    <row r="23" spans="3:20" x14ac:dyDescent="0.25">
      <c r="C23" s="2">
        <v>7500</v>
      </c>
      <c r="D23" s="2">
        <v>150</v>
      </c>
      <c r="F23" s="3"/>
      <c r="G23" s="4"/>
      <c r="H23" s="5">
        <f t="shared" si="0"/>
        <v>0</v>
      </c>
      <c r="I23" s="4"/>
      <c r="J23" s="4"/>
      <c r="K23" s="5">
        <f t="shared" si="1"/>
        <v>0</v>
      </c>
      <c r="L23" s="5">
        <f t="shared" si="1"/>
        <v>0</v>
      </c>
    </row>
    <row r="24" spans="3:20" x14ac:dyDescent="0.25">
      <c r="C24" s="2">
        <v>8000</v>
      </c>
      <c r="D24" s="2">
        <v>160</v>
      </c>
      <c r="F24" s="3"/>
      <c r="G24" s="4"/>
      <c r="H24" s="5">
        <f t="shared" si="0"/>
        <v>0</v>
      </c>
      <c r="I24" s="4"/>
      <c r="J24" s="4"/>
      <c r="K24" s="5">
        <f t="shared" si="1"/>
        <v>0</v>
      </c>
      <c r="L24" s="5">
        <f t="shared" si="1"/>
        <v>0</v>
      </c>
    </row>
    <row r="25" spans="3:20" x14ac:dyDescent="0.25">
      <c r="C25" s="2">
        <v>8500</v>
      </c>
      <c r="D25" s="2">
        <v>170</v>
      </c>
      <c r="F25" s="3"/>
      <c r="G25" s="4"/>
      <c r="H25" s="5">
        <f t="shared" si="0"/>
        <v>0</v>
      </c>
      <c r="I25" s="4"/>
      <c r="J25" s="4"/>
      <c r="K25" s="5">
        <f t="shared" ref="K25:L25" si="2">I25*100000</f>
        <v>0</v>
      </c>
      <c r="L25" s="5">
        <f t="shared" si="2"/>
        <v>0</v>
      </c>
    </row>
    <row r="27" spans="3:20" x14ac:dyDescent="0.25">
      <c r="C27" s="15" t="s">
        <v>1</v>
      </c>
      <c r="D27" s="15"/>
      <c r="F27" s="15" t="s">
        <v>14</v>
      </c>
      <c r="G27" s="15"/>
      <c r="H27" s="15"/>
      <c r="I27" s="15"/>
      <c r="J27" s="15"/>
      <c r="K27" s="15"/>
      <c r="L27" s="15"/>
      <c r="N27" s="15" t="s">
        <v>15</v>
      </c>
      <c r="O27" s="15"/>
      <c r="P27" s="15"/>
      <c r="Q27" s="15"/>
      <c r="R27" s="15"/>
      <c r="S27" s="15"/>
      <c r="T27" s="15"/>
    </row>
    <row r="28" spans="3:20" x14ac:dyDescent="0.25">
      <c r="C28" s="2" t="s">
        <v>2</v>
      </c>
      <c r="D28" s="2" t="s">
        <v>3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6</v>
      </c>
      <c r="K28" s="2" t="s">
        <v>9</v>
      </c>
      <c r="L28" s="2" t="s">
        <v>7</v>
      </c>
      <c r="N28" s="2" t="s">
        <v>5</v>
      </c>
      <c r="O28" s="2" t="s">
        <v>6</v>
      </c>
      <c r="P28" s="2" t="s">
        <v>7</v>
      </c>
      <c r="Q28" s="2" t="s">
        <v>8</v>
      </c>
      <c r="R28" s="2" t="s">
        <v>6</v>
      </c>
      <c r="S28" s="2" t="s">
        <v>9</v>
      </c>
      <c r="T28" s="2" t="s">
        <v>7</v>
      </c>
    </row>
    <row r="29" spans="3:20" x14ac:dyDescent="0.25">
      <c r="C29" s="2">
        <v>0</v>
      </c>
      <c r="D29" s="2">
        <v>0</v>
      </c>
      <c r="F29" s="3">
        <v>1.408156</v>
      </c>
      <c r="G29" s="4">
        <v>1.4999999999999999E-4</v>
      </c>
      <c r="H29" s="5">
        <f>G29*100000</f>
        <v>14.999999999999998</v>
      </c>
      <c r="I29" s="4">
        <v>6.7736050000000003E-3</v>
      </c>
      <c r="J29" s="4">
        <v>5.1057039999999999E-5</v>
      </c>
      <c r="K29" s="5">
        <f>I29*100000</f>
        <v>677.3605</v>
      </c>
      <c r="L29" s="5">
        <f>J29*100000</f>
        <v>5.1057040000000002</v>
      </c>
      <c r="N29" s="3"/>
      <c r="O29" s="4"/>
      <c r="P29" s="5">
        <f>O29*100000</f>
        <v>0</v>
      </c>
      <c r="Q29" s="4"/>
      <c r="R29" s="4"/>
      <c r="S29" s="5">
        <f>Q29*100000</f>
        <v>0</v>
      </c>
      <c r="T29" s="5">
        <f>R29*100000</f>
        <v>0</v>
      </c>
    </row>
    <row r="30" spans="3:20" x14ac:dyDescent="0.25">
      <c r="C30" s="2">
        <v>250</v>
      </c>
      <c r="D30" s="2">
        <v>5</v>
      </c>
      <c r="F30" s="3">
        <v>1.4005479999999999</v>
      </c>
      <c r="G30" s="4">
        <v>1.47E-4</v>
      </c>
      <c r="H30" s="5">
        <f t="shared" ref="H30:H47" si="3">G30*100000</f>
        <v>14.7</v>
      </c>
      <c r="I30" s="4">
        <v>6.7456579999999999E-3</v>
      </c>
      <c r="J30" s="4">
        <v>5.5581509999999997E-5</v>
      </c>
      <c r="K30" s="5">
        <f t="shared" ref="K30:L47" si="4">I30*100000</f>
        <v>674.56579999999997</v>
      </c>
      <c r="L30" s="5">
        <f t="shared" si="4"/>
        <v>5.5581509999999996</v>
      </c>
      <c r="N30" s="3"/>
      <c r="O30" s="4"/>
      <c r="P30" s="5">
        <f t="shared" ref="P30:P47" si="5">O30*100000</f>
        <v>0</v>
      </c>
      <c r="Q30" s="4"/>
      <c r="R30" s="4"/>
      <c r="S30" s="5">
        <f t="shared" ref="S30:T47" si="6">Q30*100000</f>
        <v>0</v>
      </c>
      <c r="T30" s="5">
        <f t="shared" si="6"/>
        <v>0</v>
      </c>
    </row>
    <row r="31" spans="3:20" x14ac:dyDescent="0.25">
      <c r="C31" s="2">
        <v>500</v>
      </c>
      <c r="D31" s="2">
        <v>10</v>
      </c>
      <c r="F31" s="3">
        <v>1.3931439999999999</v>
      </c>
      <c r="G31" s="4">
        <v>1.3999999999999999E-4</v>
      </c>
      <c r="H31" s="5">
        <f t="shared" si="3"/>
        <v>13.999999999999998</v>
      </c>
      <c r="I31" s="4">
        <v>6.7711350000000002E-3</v>
      </c>
      <c r="J31" s="4">
        <v>5.9759139999999998E-5</v>
      </c>
      <c r="K31" s="5">
        <f t="shared" si="4"/>
        <v>677.11350000000004</v>
      </c>
      <c r="L31" s="5">
        <f t="shared" si="4"/>
        <v>5.9759139999999995</v>
      </c>
      <c r="N31" s="3"/>
      <c r="O31" s="4"/>
      <c r="P31" s="5">
        <f t="shared" si="5"/>
        <v>0</v>
      </c>
      <c r="Q31" s="4"/>
      <c r="R31" s="4"/>
      <c r="S31" s="5">
        <f t="shared" si="6"/>
        <v>0</v>
      </c>
      <c r="T31" s="5">
        <f t="shared" si="6"/>
        <v>0</v>
      </c>
    </row>
    <row r="32" spans="3:20" x14ac:dyDescent="0.25">
      <c r="C32" s="2">
        <v>1000</v>
      </c>
      <c r="D32" s="2">
        <v>20</v>
      </c>
      <c r="F32" s="3">
        <v>1.3785320000000001</v>
      </c>
      <c r="G32" s="4">
        <v>1.5899999999999999E-4</v>
      </c>
      <c r="H32" s="5">
        <f t="shared" si="3"/>
        <v>15.899999999999999</v>
      </c>
      <c r="I32" s="4">
        <v>6.6160969999999996E-3</v>
      </c>
      <c r="J32" s="4">
        <v>5.7129349999999999E-5</v>
      </c>
      <c r="K32" s="5">
        <f t="shared" si="4"/>
        <v>661.60969999999998</v>
      </c>
      <c r="L32" s="5">
        <f t="shared" si="4"/>
        <v>5.7129349999999999</v>
      </c>
      <c r="N32" s="3"/>
      <c r="O32" s="4"/>
      <c r="P32" s="5">
        <f t="shared" si="5"/>
        <v>0</v>
      </c>
      <c r="Q32" s="4"/>
      <c r="R32" s="4"/>
      <c r="S32" s="5">
        <f t="shared" si="6"/>
        <v>0</v>
      </c>
      <c r="T32" s="5">
        <f t="shared" si="6"/>
        <v>0</v>
      </c>
    </row>
    <row r="33" spans="3:22" ht="15.75" x14ac:dyDescent="0.25">
      <c r="C33" s="6">
        <v>1500</v>
      </c>
      <c r="D33" s="6">
        <v>30</v>
      </c>
      <c r="F33" s="7">
        <v>1.362943</v>
      </c>
      <c r="G33" s="8">
        <v>1.3200000000000001E-4</v>
      </c>
      <c r="H33" s="9">
        <f t="shared" si="3"/>
        <v>13.200000000000001</v>
      </c>
      <c r="I33" s="8">
        <v>6.411992E-3</v>
      </c>
      <c r="J33" s="8">
        <v>5.9558770000000001E-5</v>
      </c>
      <c r="K33" s="9">
        <f t="shared" si="4"/>
        <v>641.19920000000002</v>
      </c>
      <c r="L33" s="9">
        <f t="shared" si="4"/>
        <v>5.9558770000000001</v>
      </c>
      <c r="N33" s="7">
        <v>1.362943</v>
      </c>
      <c r="O33" s="8">
        <v>1.3200000000000001E-4</v>
      </c>
      <c r="P33" s="9">
        <f t="shared" si="5"/>
        <v>13.200000000000001</v>
      </c>
      <c r="Q33" s="8">
        <v>6.411992E-3</v>
      </c>
      <c r="R33" s="8">
        <v>5.9558770000000001E-5</v>
      </c>
      <c r="S33" s="9">
        <f t="shared" si="6"/>
        <v>641.19920000000002</v>
      </c>
      <c r="T33" s="9">
        <f t="shared" si="6"/>
        <v>5.9558770000000001</v>
      </c>
      <c r="V33" s="10" t="s">
        <v>11</v>
      </c>
    </row>
    <row r="34" spans="3:22" x14ac:dyDescent="0.25">
      <c r="C34" s="2">
        <v>2000</v>
      </c>
      <c r="D34" s="2">
        <v>40</v>
      </c>
      <c r="F34" s="3"/>
      <c r="G34" s="4"/>
      <c r="H34" s="5">
        <f t="shared" si="3"/>
        <v>0</v>
      </c>
      <c r="I34" s="4"/>
      <c r="J34" s="4"/>
      <c r="K34" s="5">
        <f t="shared" si="4"/>
        <v>0</v>
      </c>
      <c r="L34" s="5">
        <f t="shared" si="4"/>
        <v>0</v>
      </c>
      <c r="N34" s="3">
        <v>1.3472500000000001</v>
      </c>
      <c r="O34" s="4">
        <v>1.6000000000000001E-4</v>
      </c>
      <c r="P34" s="5">
        <f t="shared" si="5"/>
        <v>16</v>
      </c>
      <c r="Q34" s="4">
        <v>6.2606420000000003E-3</v>
      </c>
      <c r="R34" s="4">
        <v>5.2719429999999997E-5</v>
      </c>
      <c r="S34" s="5">
        <f t="shared" si="6"/>
        <v>626.06420000000003</v>
      </c>
      <c r="T34" s="5">
        <f t="shared" si="6"/>
        <v>5.2719429999999994</v>
      </c>
    </row>
    <row r="35" spans="3:22" x14ac:dyDescent="0.25">
      <c r="C35" s="2">
        <v>2500</v>
      </c>
      <c r="D35" s="2">
        <v>50</v>
      </c>
      <c r="F35" s="3"/>
      <c r="G35" s="4"/>
      <c r="H35" s="5">
        <f t="shared" si="3"/>
        <v>0</v>
      </c>
      <c r="I35" s="4"/>
      <c r="J35" s="4"/>
      <c r="K35" s="5">
        <f t="shared" si="4"/>
        <v>0</v>
      </c>
      <c r="L35" s="5">
        <f t="shared" si="4"/>
        <v>0</v>
      </c>
      <c r="N35" s="3">
        <v>1.331116</v>
      </c>
      <c r="O35" s="4">
        <v>1.5699999999999999E-4</v>
      </c>
      <c r="P35" s="5">
        <f t="shared" si="5"/>
        <v>15.7</v>
      </c>
      <c r="Q35" s="4">
        <v>6.1601110000000002E-3</v>
      </c>
      <c r="R35" s="4">
        <v>5.388369E-5</v>
      </c>
      <c r="S35" s="5">
        <f t="shared" si="6"/>
        <v>616.01110000000006</v>
      </c>
      <c r="T35" s="5">
        <f t="shared" si="6"/>
        <v>5.388369</v>
      </c>
    </row>
    <row r="36" spans="3:22" x14ac:dyDescent="0.25">
      <c r="C36" s="2">
        <v>3000</v>
      </c>
      <c r="D36" s="2">
        <v>60</v>
      </c>
      <c r="F36" s="3"/>
      <c r="G36" s="4"/>
      <c r="H36" s="5">
        <f t="shared" si="3"/>
        <v>0</v>
      </c>
      <c r="I36" s="4"/>
      <c r="J36" s="4"/>
      <c r="K36" s="5">
        <f t="shared" si="4"/>
        <v>0</v>
      </c>
      <c r="L36" s="5">
        <f t="shared" si="4"/>
        <v>0</v>
      </c>
      <c r="N36" s="3">
        <v>1.314487</v>
      </c>
      <c r="O36" s="4">
        <v>1.4100000000000001E-4</v>
      </c>
      <c r="P36" s="5">
        <f t="shared" si="5"/>
        <v>14.100000000000001</v>
      </c>
      <c r="Q36" s="4">
        <v>5.9362499999999997E-3</v>
      </c>
      <c r="R36" s="4">
        <v>5.3255950000000003E-5</v>
      </c>
      <c r="S36" s="5">
        <f t="shared" si="6"/>
        <v>593.625</v>
      </c>
      <c r="T36" s="5">
        <f t="shared" si="6"/>
        <v>5.3255949999999999</v>
      </c>
    </row>
    <row r="37" spans="3:22" x14ac:dyDescent="0.25">
      <c r="C37" s="2">
        <v>3500</v>
      </c>
      <c r="D37" s="2">
        <v>70</v>
      </c>
      <c r="F37" s="3"/>
      <c r="G37" s="4"/>
      <c r="H37" s="5">
        <f t="shared" si="3"/>
        <v>0</v>
      </c>
      <c r="I37" s="4"/>
      <c r="J37" s="4"/>
      <c r="K37" s="5">
        <f t="shared" si="4"/>
        <v>0</v>
      </c>
      <c r="L37" s="5">
        <f t="shared" si="4"/>
        <v>0</v>
      </c>
      <c r="N37" s="3">
        <v>1.2980849999999999</v>
      </c>
      <c r="O37" s="4">
        <v>1.3799999999999999E-4</v>
      </c>
      <c r="P37" s="5">
        <f t="shared" si="5"/>
        <v>13.799999999999999</v>
      </c>
      <c r="Q37" s="4">
        <v>5.7771630000000001E-3</v>
      </c>
      <c r="R37" s="4">
        <v>5.1897110000000002E-5</v>
      </c>
      <c r="S37" s="5">
        <f t="shared" si="6"/>
        <v>577.71630000000005</v>
      </c>
      <c r="T37" s="5">
        <f t="shared" si="6"/>
        <v>5.189711</v>
      </c>
    </row>
    <row r="38" spans="3:22" x14ac:dyDescent="0.25">
      <c r="C38" s="2">
        <v>4000</v>
      </c>
      <c r="D38" s="2">
        <v>80</v>
      </c>
      <c r="F38" s="3"/>
      <c r="G38" s="4"/>
      <c r="H38" s="5">
        <f t="shared" si="3"/>
        <v>0</v>
      </c>
      <c r="I38" s="4"/>
      <c r="J38" s="4"/>
      <c r="K38" s="5">
        <f t="shared" si="4"/>
        <v>0</v>
      </c>
      <c r="L38" s="5">
        <f t="shared" si="4"/>
        <v>0</v>
      </c>
      <c r="N38" s="3">
        <v>1.2811129999999999</v>
      </c>
      <c r="O38" s="4">
        <v>1.3999999999999999E-4</v>
      </c>
      <c r="P38" s="5">
        <f t="shared" si="5"/>
        <v>13.999999999999998</v>
      </c>
      <c r="Q38" s="4">
        <v>5.5619379999999998E-3</v>
      </c>
      <c r="R38" s="4">
        <v>5.0006480000000002E-5</v>
      </c>
      <c r="S38" s="5">
        <f t="shared" si="6"/>
        <v>556.19380000000001</v>
      </c>
      <c r="T38" s="5">
        <f t="shared" si="6"/>
        <v>5.000648</v>
      </c>
    </row>
    <row r="39" spans="3:22" x14ac:dyDescent="0.25">
      <c r="C39" s="2">
        <v>4500</v>
      </c>
      <c r="D39" s="2">
        <v>90</v>
      </c>
      <c r="F39" s="3"/>
      <c r="G39" s="4"/>
      <c r="H39" s="5">
        <f t="shared" si="3"/>
        <v>0</v>
      </c>
      <c r="I39" s="4"/>
      <c r="J39" s="4"/>
      <c r="K39" s="5">
        <f t="shared" si="4"/>
        <v>0</v>
      </c>
      <c r="L39" s="5">
        <f t="shared" si="4"/>
        <v>0</v>
      </c>
      <c r="N39" s="3">
        <v>1.26413</v>
      </c>
      <c r="O39" s="4">
        <v>1.47E-4</v>
      </c>
      <c r="P39" s="5">
        <f t="shared" si="5"/>
        <v>14.7</v>
      </c>
      <c r="Q39" s="4">
        <v>5.492177E-3</v>
      </c>
      <c r="R39" s="4">
        <v>4.7412969999999999E-5</v>
      </c>
      <c r="S39" s="5">
        <f t="shared" si="6"/>
        <v>549.21770000000004</v>
      </c>
      <c r="T39" s="5">
        <f t="shared" si="6"/>
        <v>4.7412970000000003</v>
      </c>
    </row>
    <row r="40" spans="3:22" x14ac:dyDescent="0.25">
      <c r="C40" s="2">
        <v>5000</v>
      </c>
      <c r="D40" s="2">
        <v>100</v>
      </c>
      <c r="F40" s="3"/>
      <c r="G40" s="4"/>
      <c r="H40" s="5">
        <f t="shared" si="3"/>
        <v>0</v>
      </c>
      <c r="I40" s="4"/>
      <c r="J40" s="4"/>
      <c r="K40" s="5">
        <f t="shared" si="4"/>
        <v>0</v>
      </c>
      <c r="L40" s="5">
        <f t="shared" si="4"/>
        <v>0</v>
      </c>
      <c r="N40" s="3">
        <v>1.2470540000000001</v>
      </c>
      <c r="O40" s="4">
        <v>1.3200000000000001E-4</v>
      </c>
      <c r="P40" s="5">
        <f t="shared" si="5"/>
        <v>13.200000000000001</v>
      </c>
      <c r="Q40" s="4">
        <v>5.302625E-3</v>
      </c>
      <c r="R40" s="4">
        <v>4.440452E-5</v>
      </c>
      <c r="S40" s="5">
        <f t="shared" si="6"/>
        <v>530.26250000000005</v>
      </c>
      <c r="T40" s="5">
        <f t="shared" si="6"/>
        <v>4.4404519999999996</v>
      </c>
    </row>
    <row r="41" spans="3:22" x14ac:dyDescent="0.25">
      <c r="C41" s="2">
        <v>5500</v>
      </c>
      <c r="D41" s="2">
        <v>110</v>
      </c>
      <c r="F41" s="3"/>
      <c r="G41" s="4"/>
      <c r="H41" s="5">
        <f t="shared" si="3"/>
        <v>0</v>
      </c>
      <c r="I41" s="4"/>
      <c r="J41" s="4"/>
      <c r="K41" s="5">
        <f t="shared" si="4"/>
        <v>0</v>
      </c>
      <c r="L41" s="5">
        <f t="shared" si="4"/>
        <v>0</v>
      </c>
      <c r="N41" s="3">
        <v>1.230618</v>
      </c>
      <c r="O41" s="4">
        <v>1.35E-4</v>
      </c>
      <c r="P41" s="5">
        <f t="shared" si="5"/>
        <v>13.5</v>
      </c>
      <c r="Q41" s="4">
        <v>5.1225690000000004E-3</v>
      </c>
      <c r="R41" s="4">
        <v>4.7345219999999997E-5</v>
      </c>
      <c r="S41" s="5">
        <f t="shared" si="6"/>
        <v>512.25690000000009</v>
      </c>
      <c r="T41" s="5">
        <f t="shared" si="6"/>
        <v>4.7345219999999992</v>
      </c>
    </row>
    <row r="42" spans="3:22" x14ac:dyDescent="0.25">
      <c r="C42" s="2">
        <v>6000</v>
      </c>
      <c r="D42" s="2">
        <v>120</v>
      </c>
      <c r="F42" s="3"/>
      <c r="G42" s="4"/>
      <c r="H42" s="5">
        <f t="shared" si="3"/>
        <v>0</v>
      </c>
      <c r="I42" s="4"/>
      <c r="J42" s="4"/>
      <c r="K42" s="5">
        <f t="shared" si="4"/>
        <v>0</v>
      </c>
      <c r="L42" s="5">
        <f t="shared" si="4"/>
        <v>0</v>
      </c>
      <c r="N42" s="3">
        <v>1.213851</v>
      </c>
      <c r="O42" s="4">
        <v>1.46E-4</v>
      </c>
      <c r="P42" s="5">
        <f t="shared" si="5"/>
        <v>14.6</v>
      </c>
      <c r="Q42" s="4">
        <v>5.008719E-3</v>
      </c>
      <c r="R42" s="4">
        <v>4.4064109999999998E-5</v>
      </c>
      <c r="S42" s="5">
        <f t="shared" si="6"/>
        <v>500.87189999999998</v>
      </c>
      <c r="T42" s="5">
        <f t="shared" si="6"/>
        <v>4.4064109999999994</v>
      </c>
    </row>
    <row r="43" spans="3:22" x14ac:dyDescent="0.25">
      <c r="C43" s="2">
        <v>6500</v>
      </c>
      <c r="D43" s="2">
        <v>130</v>
      </c>
      <c r="F43" s="3"/>
      <c r="G43" s="4"/>
      <c r="H43" s="5">
        <f t="shared" si="3"/>
        <v>0</v>
      </c>
      <c r="I43" s="4"/>
      <c r="J43" s="4"/>
      <c r="K43" s="5">
        <f t="shared" si="4"/>
        <v>0</v>
      </c>
      <c r="L43" s="5">
        <f t="shared" si="4"/>
        <v>0</v>
      </c>
      <c r="N43" s="3">
        <v>1.197622</v>
      </c>
      <c r="O43" s="4">
        <v>1.27E-4</v>
      </c>
      <c r="P43" s="5">
        <f t="shared" si="5"/>
        <v>12.7</v>
      </c>
      <c r="Q43" s="4">
        <v>4.7431879999999997E-3</v>
      </c>
      <c r="R43" s="4">
        <v>4.3934319999999998E-5</v>
      </c>
      <c r="S43" s="5">
        <f t="shared" si="6"/>
        <v>474.31879999999995</v>
      </c>
      <c r="T43" s="5">
        <f t="shared" si="6"/>
        <v>4.3934319999999998</v>
      </c>
    </row>
    <row r="44" spans="3:22" x14ac:dyDescent="0.25">
      <c r="C44" s="2">
        <v>7000</v>
      </c>
      <c r="D44" s="2">
        <v>140</v>
      </c>
      <c r="F44" s="3"/>
      <c r="G44" s="4"/>
      <c r="H44" s="5">
        <f t="shared" si="3"/>
        <v>0</v>
      </c>
      <c r="I44" s="4"/>
      <c r="J44" s="4"/>
      <c r="K44" s="5">
        <f t="shared" si="4"/>
        <v>0</v>
      </c>
      <c r="L44" s="5">
        <f t="shared" si="4"/>
        <v>0</v>
      </c>
      <c r="N44" s="3">
        <v>1.1816599999999999</v>
      </c>
      <c r="O44" s="4">
        <v>1.2400000000000001E-4</v>
      </c>
      <c r="P44" s="5">
        <f t="shared" si="5"/>
        <v>12.4</v>
      </c>
      <c r="Q44" s="4">
        <v>4.7245079999999997E-3</v>
      </c>
      <c r="R44" s="4">
        <v>4.4571599999999999E-5</v>
      </c>
      <c r="S44" s="5">
        <f t="shared" si="6"/>
        <v>472.45079999999996</v>
      </c>
      <c r="T44" s="5">
        <f t="shared" si="6"/>
        <v>4.45716</v>
      </c>
    </row>
    <row r="45" spans="3:22" x14ac:dyDescent="0.25">
      <c r="C45" s="2">
        <v>7500</v>
      </c>
      <c r="D45" s="2">
        <v>150</v>
      </c>
      <c r="F45" s="3"/>
      <c r="G45" s="4"/>
      <c r="H45" s="5">
        <f t="shared" si="3"/>
        <v>0</v>
      </c>
      <c r="I45" s="4"/>
      <c r="J45" s="4"/>
      <c r="K45" s="5">
        <f t="shared" si="4"/>
        <v>0</v>
      </c>
      <c r="L45" s="5">
        <f t="shared" si="4"/>
        <v>0</v>
      </c>
      <c r="N45" s="3"/>
      <c r="O45" s="4"/>
      <c r="P45" s="5">
        <f t="shared" si="5"/>
        <v>0</v>
      </c>
      <c r="Q45" s="4"/>
      <c r="R45" s="4"/>
      <c r="S45" s="5">
        <f t="shared" si="6"/>
        <v>0</v>
      </c>
      <c r="T45" s="5">
        <f t="shared" si="6"/>
        <v>0</v>
      </c>
    </row>
    <row r="46" spans="3:22" x14ac:dyDescent="0.25">
      <c r="C46" s="2">
        <v>8000</v>
      </c>
      <c r="D46" s="2">
        <v>160</v>
      </c>
      <c r="F46" s="3"/>
      <c r="G46" s="4"/>
      <c r="H46" s="5">
        <f t="shared" si="3"/>
        <v>0</v>
      </c>
      <c r="I46" s="4"/>
      <c r="J46" s="4"/>
      <c r="K46" s="5">
        <f t="shared" si="4"/>
        <v>0</v>
      </c>
      <c r="L46" s="5">
        <f t="shared" si="4"/>
        <v>0</v>
      </c>
      <c r="N46" s="3"/>
      <c r="O46" s="4"/>
      <c r="P46" s="5">
        <f t="shared" si="5"/>
        <v>0</v>
      </c>
      <c r="Q46" s="4"/>
      <c r="R46" s="4"/>
      <c r="S46" s="5">
        <f t="shared" si="6"/>
        <v>0</v>
      </c>
      <c r="T46" s="5">
        <f t="shared" si="6"/>
        <v>0</v>
      </c>
    </row>
    <row r="47" spans="3:22" x14ac:dyDescent="0.25">
      <c r="C47" s="2">
        <v>8500</v>
      </c>
      <c r="D47" s="2">
        <v>170</v>
      </c>
      <c r="F47" s="3"/>
      <c r="G47" s="4"/>
      <c r="H47" s="5">
        <f t="shared" si="3"/>
        <v>0</v>
      </c>
      <c r="I47" s="4"/>
      <c r="J47" s="4"/>
      <c r="K47" s="5">
        <f t="shared" si="4"/>
        <v>0</v>
      </c>
      <c r="L47" s="5">
        <f t="shared" si="4"/>
        <v>0</v>
      </c>
      <c r="N47" s="3"/>
      <c r="O47" s="4"/>
      <c r="P47" s="5">
        <f t="shared" si="5"/>
        <v>0</v>
      </c>
      <c r="Q47" s="4"/>
      <c r="R47" s="4"/>
      <c r="S47" s="5">
        <f t="shared" si="6"/>
        <v>0</v>
      </c>
      <c r="T47" s="5">
        <f t="shared" si="6"/>
        <v>0</v>
      </c>
    </row>
    <row r="49" spans="3:3" x14ac:dyDescent="0.25">
      <c r="C49" s="11" t="s">
        <v>16</v>
      </c>
    </row>
    <row r="50" spans="3:3" x14ac:dyDescent="0.25">
      <c r="C50" s="12" t="s">
        <v>20</v>
      </c>
    </row>
    <row r="51" spans="3:3" x14ac:dyDescent="0.25">
      <c r="C51" s="13" t="s">
        <v>21</v>
      </c>
    </row>
    <row r="52" spans="3:3" x14ac:dyDescent="0.25">
      <c r="C52" s="14" t="s">
        <v>22</v>
      </c>
    </row>
  </sheetData>
  <mergeCells count="5">
    <mergeCell ref="C5:D5"/>
    <mergeCell ref="F5:L5"/>
    <mergeCell ref="C27:D27"/>
    <mergeCell ref="F27:L27"/>
    <mergeCell ref="N27:T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01_NaCl_UCl3_CELI</vt:lpstr>
      <vt:lpstr>02_NaCl_UCl3_CECM</vt:lpstr>
    </vt:vector>
  </TitlesOfParts>
  <Company>M365 Install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Taesuk Oh</dc:creator>
  <cp:lastModifiedBy>Taesuk Oh</cp:lastModifiedBy>
  <dcterms:created xsi:type="dcterms:W3CDTF">2026-04-13T17:38:47Z</dcterms:created>
  <dcterms:modified xsi:type="dcterms:W3CDTF">2026-04-13T18:45:28Z</dcterms:modified>
</cp:coreProperties>
</file>